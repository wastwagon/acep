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Oceancyber/Downloads/"/>
    </mc:Choice>
  </mc:AlternateContent>
  <xr:revisionPtr revIDLastSave="0" documentId="8_{7B97DEAA-FA92-A446-BB66-F22BB339531E}" xr6:coauthVersionLast="47" xr6:coauthVersionMax="47" xr10:uidLastSave="{00000000-0000-0000-0000-000000000000}"/>
  <bookViews>
    <workbookView xWindow="0" yWindow="1520" windowWidth="28800" windowHeight="16320" xr2:uid="{00000000-000D-0000-FFFF-FFFF00000000}"/>
  </bookViews>
  <sheets>
    <sheet name="Activities budget" sheetId="1" r:id="rId1"/>
    <sheet name="Budget Notes" sheetId="3" r:id="rId2"/>
  </sheets>
  <definedNames>
    <definedName name="Units">'Budget Notes'!#REF!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7" i="1" l="1"/>
  <c r="C48" i="1"/>
  <c r="C49" i="1"/>
  <c r="C50" i="1"/>
  <c r="D46" i="1"/>
  <c r="G31" i="1"/>
  <c r="E31" i="1"/>
  <c r="D31" i="1"/>
  <c r="F31" i="1"/>
  <c r="F27" i="1"/>
  <c r="F22" i="1"/>
  <c r="C46" i="1" s="1"/>
  <c r="F17" i="1"/>
  <c r="C45" i="1" s="1"/>
  <c r="I17" i="1"/>
  <c r="H15" i="1"/>
  <c r="K15" i="1" s="1"/>
  <c r="H16" i="1"/>
  <c r="K16" i="1" s="1"/>
  <c r="H19" i="1"/>
  <c r="D47" i="1" s="1"/>
  <c r="H20" i="1"/>
  <c r="K20" i="1" s="1"/>
  <c r="H21" i="1"/>
  <c r="K21" i="1" s="1"/>
  <c r="D49" i="1"/>
  <c r="H24" i="1"/>
  <c r="H25" i="1"/>
  <c r="H26" i="1"/>
  <c r="H29" i="1"/>
  <c r="H30" i="1"/>
  <c r="H33" i="1"/>
  <c r="I33" i="1" s="1"/>
  <c r="H34" i="1"/>
  <c r="I34" i="1" s="1"/>
  <c r="K34" i="1" s="1"/>
  <c r="H35" i="1"/>
  <c r="I35" i="1" s="1"/>
  <c r="K35" i="1" s="1"/>
  <c r="I30" i="1"/>
  <c r="I25" i="1"/>
  <c r="I26" i="1"/>
  <c r="K26" i="1"/>
  <c r="H22" i="1"/>
  <c r="I22" i="1"/>
  <c r="K19" i="1"/>
  <c r="K36" i="1"/>
  <c r="I36" i="1"/>
  <c r="H27" i="1" l="1"/>
  <c r="D48" i="1"/>
  <c r="K17" i="1"/>
  <c r="H17" i="1"/>
  <c r="J17" i="1" s="1"/>
  <c r="L17" i="1" s="1"/>
  <c r="I24" i="1"/>
  <c r="K24" i="1" s="1"/>
  <c r="K30" i="1"/>
  <c r="H31" i="1"/>
  <c r="H36" i="1" s="1"/>
  <c r="J22" i="1"/>
  <c r="L22" i="1" s="1"/>
  <c r="K25" i="1"/>
  <c r="K22" i="1"/>
  <c r="K33" i="1"/>
  <c r="I29" i="1"/>
  <c r="K27" i="1" l="1"/>
  <c r="I27" i="1"/>
  <c r="J27" i="1" s="1"/>
  <c r="L27" i="1" s="1"/>
  <c r="D45" i="1"/>
  <c r="D50" i="1" s="1"/>
  <c r="K29" i="1"/>
  <c r="K31" i="1" s="1"/>
  <c r="I31" i="1"/>
  <c r="J31" i="1" s="1"/>
  <c r="L31" i="1" s="1"/>
</calcChain>
</file>

<file path=xl/sharedStrings.xml><?xml version="1.0" encoding="utf-8"?>
<sst xmlns="http://schemas.openxmlformats.org/spreadsheetml/2006/main" count="75" uniqueCount="38">
  <si>
    <t>Description</t>
  </si>
  <si>
    <t>Budget Notes</t>
  </si>
  <si>
    <t>SUB-TOTAL</t>
  </si>
  <si>
    <t>PROGRAM COSTS</t>
  </si>
  <si>
    <t>Country Programme: Ghana</t>
  </si>
  <si>
    <t>Name of Organisation: xxxxxxxxxxxxxx</t>
  </si>
  <si>
    <t>Units</t>
  </si>
  <si>
    <t>Frequency of Units</t>
  </si>
  <si>
    <t>Activity 1: xxxxxxxxxxxxxxxx…</t>
  </si>
  <si>
    <t>Activity 2: xxxxxxxxxxxxxxxx…</t>
  </si>
  <si>
    <t>Activity 3: xxxxxxxxxxxxxxxx…</t>
  </si>
  <si>
    <t>Activity 4: xxxxxxxxxxxxxxxx…</t>
  </si>
  <si>
    <t>Activity 5: xxxxxxxxxxxxxxxx…</t>
  </si>
  <si>
    <t>Details</t>
  </si>
  <si>
    <t>BUDGET SUMMARY</t>
  </si>
  <si>
    <r>
      <t>Project Title:</t>
    </r>
    <r>
      <rPr>
        <b/>
        <sz val="12"/>
        <color indexed="53"/>
        <rFont val="Calibri"/>
        <family val="2"/>
        <scheme val="minor"/>
      </rPr>
      <t xml:space="preserve"> </t>
    </r>
  </si>
  <si>
    <t>Contributions</t>
  </si>
  <si>
    <t>ACEP</t>
  </si>
  <si>
    <t>USD</t>
  </si>
  <si>
    <t>%</t>
  </si>
  <si>
    <t>ORGANIZATION</t>
  </si>
  <si>
    <t>Total</t>
  </si>
  <si>
    <t>ACTIVITY 1</t>
  </si>
  <si>
    <t>ACTIVITY 2</t>
  </si>
  <si>
    <t>ACTIVITY 3</t>
  </si>
  <si>
    <t>ACTIVITY 4</t>
  </si>
  <si>
    <t>ACTIVITY 5</t>
  </si>
  <si>
    <t>Total cost USD</t>
  </si>
  <si>
    <t>Unit Cost USD</t>
  </si>
  <si>
    <t>Exchange rate:</t>
  </si>
  <si>
    <t xml:space="preserve">Project Span:                                </t>
  </si>
  <si>
    <t xml:space="preserve">Name of Organisation: </t>
  </si>
  <si>
    <r>
      <t>Project Title:</t>
    </r>
    <r>
      <rPr>
        <b/>
        <sz val="14"/>
        <color indexed="53"/>
        <rFont val="Calibri"/>
        <family val="2"/>
        <scheme val="minor"/>
      </rPr>
      <t xml:space="preserve"> </t>
    </r>
  </si>
  <si>
    <t xml:space="preserve">Project Span:                         </t>
  </si>
  <si>
    <t>TOTAL</t>
  </si>
  <si>
    <t xml:space="preserve">Country Programme: </t>
  </si>
  <si>
    <t xml:space="preserve">Unit cost (Local Currency) </t>
  </si>
  <si>
    <t xml:space="preserve">Total Cost (Local Currency)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</si>
</sst>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5" formatCode="&quot;$&quot;#,##0_);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(&quot;$&quot;* #,##0_);_(&quot;$&quot;* \(#,##0\);_(&quot;$&quot;* &quot;-&quot;??_);_(@_)"/>
    <numFmt numFmtId="166" formatCode="#."/>
    <numFmt numFmtId="167" formatCode="_-* #,##0.00\ [$€]_-;\-* #,##0.00\ [$€]_-;_-* &quot;-&quot;??\ [$€]_-;_-@_-"/>
    <numFmt numFmtId="168" formatCode="_-[$$-409]* #,##0.00_ ;_-[$$-409]* \-#,##0.00\ ;_-[$$-409]* &quot;-&quot;??_ ;_-@_ "/>
    <numFmt numFmtId="169" formatCode="_-* #,##0\ _€_-;\-* #,##0\ _€_-;_-* &quot;-&quot;??\ _€_-;_-@_-"/>
    <numFmt numFmtId="170" formatCode="_ * #,##0.00_)[$CFA-280C]_ ;_ * \(#,##0.00\)[$CFA-280C]_ ;_ * &quot;-&quot;??_)[$CFA-280C]_ ;_ @_ "/>
  </numFmts>
  <fonts count="5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sz val="10"/>
      <name val="Helv"/>
    </font>
    <font>
      <b/>
      <sz val="12"/>
      <name val="Courier"/>
      <family val="3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indexed="53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6"/>
      <color theme="0"/>
      <name val="Calibri"/>
      <family val="2"/>
      <scheme val="minor"/>
    </font>
    <font>
      <sz val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Baskerville Old Face"/>
      <family val="1"/>
    </font>
    <font>
      <sz val="12"/>
      <color theme="1"/>
      <name val="Baskerville Old Face"/>
      <family val="1"/>
    </font>
    <font>
      <sz val="11"/>
      <color theme="0"/>
      <name val="Calibri"/>
      <family val="2"/>
      <scheme val="minor"/>
    </font>
    <font>
      <b/>
      <sz val="12"/>
      <name val="Baskerville Old Face"/>
      <family val="1"/>
    </font>
    <font>
      <b/>
      <sz val="10"/>
      <name val="Calibri"/>
      <family val="2"/>
      <scheme val="minor"/>
    </font>
    <font>
      <sz val="10"/>
      <color theme="1"/>
      <name val="Baskerville Old Face"/>
      <family val="1"/>
    </font>
    <font>
      <b/>
      <sz val="14"/>
      <color theme="1"/>
      <name val="Calibri (Body)"/>
    </font>
    <font>
      <b/>
      <sz val="14"/>
      <name val="Calibri"/>
      <family val="2"/>
      <scheme val="minor"/>
    </font>
    <font>
      <b/>
      <sz val="14"/>
      <color indexed="53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 (Body)"/>
    </font>
    <font>
      <b/>
      <sz val="10"/>
      <color theme="1"/>
      <name val="Baskerville Old Face"/>
    </font>
    <font>
      <u/>
      <sz val="11"/>
      <color theme="1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10">
    <xf numFmtId="0" fontId="0" fillId="0" borderId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6" borderId="0" applyNumberFormat="0" applyBorder="0" applyAlignment="0" applyProtection="0"/>
    <xf numFmtId="0" fontId="10" fillId="9" borderId="0" applyNumberFormat="0" applyBorder="0" applyAlignment="0" applyProtection="0"/>
    <xf numFmtId="0" fontId="10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20" borderId="0" applyNumberFormat="0" applyBorder="0" applyAlignment="0" applyProtection="0"/>
    <xf numFmtId="0" fontId="12" fillId="4" borderId="0" applyNumberFormat="0" applyBorder="0" applyAlignment="0" applyProtection="0"/>
    <xf numFmtId="0" fontId="13" fillId="21" borderId="4" applyNumberFormat="0" applyAlignment="0" applyProtection="0"/>
    <xf numFmtId="0" fontId="14" fillId="22" borderId="5" applyNumberFormat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3" fontId="5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5" fontId="4" fillId="0" borderId="0" applyFill="0" applyBorder="0" applyAlignment="0" applyProtection="0">
      <alignment horizontal="right"/>
    </xf>
    <xf numFmtId="0" fontId="5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5" fillId="0" borderId="0" applyNumberFormat="0" applyFill="0" applyBorder="0" applyAlignment="0" applyProtection="0"/>
    <xf numFmtId="2" fontId="5" fillId="0" borderId="0" applyFont="0" applyFill="0" applyBorder="0" applyAlignment="0" applyProtection="0"/>
    <xf numFmtId="0" fontId="16" fillId="5" borderId="0" applyNumberFormat="0" applyBorder="0" applyAlignment="0" applyProtection="0"/>
    <xf numFmtId="0" fontId="7" fillId="0" borderId="0" applyNumberFormat="0" applyFont="0" applyFill="0" applyAlignment="0" applyProtection="0"/>
    <xf numFmtId="0" fontId="9" fillId="0" borderId="0" applyNumberFormat="0" applyFont="0" applyFill="0" applyAlignment="0" applyProtection="0"/>
    <xf numFmtId="0" fontId="17" fillId="0" borderId="6" applyNumberFormat="0" applyFill="0" applyAlignment="0" applyProtection="0"/>
    <xf numFmtId="0" fontId="17" fillId="0" borderId="0" applyNumberFormat="0" applyFill="0" applyBorder="0" applyAlignment="0" applyProtection="0"/>
    <xf numFmtId="166" fontId="18" fillId="0" borderId="0">
      <protection locked="0"/>
    </xf>
    <xf numFmtId="166" fontId="18" fillId="0" borderId="0">
      <protection locked="0"/>
    </xf>
    <xf numFmtId="0" fontId="19" fillId="8" borderId="4" applyNumberFormat="0" applyAlignment="0" applyProtection="0"/>
    <xf numFmtId="0" fontId="20" fillId="0" borderId="7" applyNumberFormat="0" applyFill="0" applyAlignment="0" applyProtection="0"/>
    <xf numFmtId="0" fontId="21" fillId="23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168" fontId="1" fillId="0" borderId="0"/>
    <xf numFmtId="0" fontId="4" fillId="24" borderId="8" applyNumberFormat="0" applyFont="0" applyAlignment="0" applyProtection="0"/>
    <xf numFmtId="0" fontId="4" fillId="0" borderId="0"/>
    <xf numFmtId="0" fontId="22" fillId="21" borderId="9" applyNumberFormat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6" fillId="0" borderId="0"/>
    <xf numFmtId="0" fontId="8" fillId="0" borderId="0"/>
    <xf numFmtId="0" fontId="23" fillId="0" borderId="0" applyNumberFormat="0" applyFill="0" applyBorder="0" applyAlignment="0" applyProtection="0"/>
    <xf numFmtId="0" fontId="5" fillId="0" borderId="10" applyNumberFormat="0" applyFont="0" applyBorder="0" applyAlignment="0" applyProtection="0"/>
    <xf numFmtId="0" fontId="4" fillId="0" borderId="0"/>
    <xf numFmtId="0" fontId="24" fillId="0" borderId="0" applyNumberFormat="0" applyFill="0" applyBorder="0" applyAlignment="0" applyProtection="0"/>
    <xf numFmtId="0" fontId="4" fillId="0" borderId="0"/>
    <xf numFmtId="0" fontId="4" fillId="0" borderId="0"/>
    <xf numFmtId="44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4" fillId="0" borderId="0"/>
    <xf numFmtId="0" fontId="4" fillId="0" borderId="0"/>
    <xf numFmtId="0" fontId="1" fillId="0" borderId="0"/>
    <xf numFmtId="164" fontId="1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8" fillId="0" borderId="0"/>
  </cellStyleXfs>
  <cellXfs count="177">
    <xf numFmtId="0" fontId="0" fillId="0" borderId="0" xfId="0"/>
    <xf numFmtId="0" fontId="0" fillId="0" borderId="0" xfId="0" applyFont="1"/>
    <xf numFmtId="0" fontId="0" fillId="0" borderId="0" xfId="0" applyFont="1" applyAlignment="1">
      <alignment vertical="center"/>
    </xf>
    <xf numFmtId="0" fontId="30" fillId="0" borderId="0" xfId="64" applyFont="1" applyFill="1" applyBorder="1" applyAlignment="1">
      <alignment horizontal="left"/>
    </xf>
    <xf numFmtId="0" fontId="30" fillId="0" borderId="0" xfId="64" applyFont="1" applyFill="1" applyBorder="1" applyAlignment="1">
      <alignment horizontal="center"/>
    </xf>
    <xf numFmtId="0" fontId="2" fillId="0" borderId="0" xfId="0" applyFont="1"/>
    <xf numFmtId="0" fontId="34" fillId="0" borderId="0" xfId="64" applyFont="1" applyBorder="1"/>
    <xf numFmtId="0" fontId="0" fillId="0" borderId="0" xfId="0" applyFont="1" applyBorder="1"/>
    <xf numFmtId="0" fontId="29" fillId="0" borderId="0" xfId="0" applyFont="1" applyBorder="1" applyAlignment="1">
      <alignment vertical="center"/>
    </xf>
    <xf numFmtId="0" fontId="41" fillId="0" borderId="0" xfId="0" applyFont="1"/>
    <xf numFmtId="0" fontId="40" fillId="0" borderId="0" xfId="0" applyFont="1"/>
    <xf numFmtId="0" fontId="31" fillId="0" borderId="37" xfId="0" applyFont="1" applyBorder="1" applyAlignment="1">
      <alignment vertical="center" wrapText="1"/>
    </xf>
    <xf numFmtId="0" fontId="2" fillId="27" borderId="38" xfId="0" applyFont="1" applyFill="1" applyBorder="1" applyAlignment="1">
      <alignment wrapText="1"/>
    </xf>
    <xf numFmtId="0" fontId="28" fillId="26" borderId="40" xfId="0" applyFont="1" applyFill="1" applyBorder="1" applyAlignment="1">
      <alignment horizontal="left" wrapText="1"/>
    </xf>
    <xf numFmtId="0" fontId="0" fillId="0" borderId="13" xfId="0" applyFont="1" applyBorder="1"/>
    <xf numFmtId="0" fontId="0" fillId="0" borderId="14" xfId="0" applyFont="1" applyBorder="1"/>
    <xf numFmtId="0" fontId="0" fillId="0" borderId="15" xfId="0" applyFont="1" applyBorder="1"/>
    <xf numFmtId="0" fontId="0" fillId="0" borderId="19" xfId="0" applyFont="1" applyBorder="1"/>
    <xf numFmtId="0" fontId="0" fillId="0" borderId="41" xfId="0" applyFont="1" applyBorder="1"/>
    <xf numFmtId="0" fontId="32" fillId="0" borderId="0" xfId="64" applyFont="1" applyFill="1" applyBorder="1" applyAlignment="1">
      <alignment horizontal="left"/>
    </xf>
    <xf numFmtId="0" fontId="37" fillId="0" borderId="0" xfId="64" applyFont="1" applyBorder="1"/>
    <xf numFmtId="165" fontId="26" fillId="2" borderId="0" xfId="3" applyNumberFormat="1" applyFont="1" applyFill="1" applyBorder="1"/>
    <xf numFmtId="0" fontId="0" fillId="0" borderId="0" xfId="0" applyFont="1" applyFill="1" applyBorder="1"/>
    <xf numFmtId="44" fontId="0" fillId="0" borderId="0" xfId="3" applyFont="1" applyFill="1" applyBorder="1"/>
    <xf numFmtId="0" fontId="34" fillId="0" borderId="19" xfId="64" applyFont="1" applyBorder="1"/>
    <xf numFmtId="0" fontId="0" fillId="0" borderId="28" xfId="0" applyFont="1" applyBorder="1"/>
    <xf numFmtId="0" fontId="0" fillId="0" borderId="42" xfId="0" applyFont="1" applyBorder="1"/>
    <xf numFmtId="0" fontId="42" fillId="0" borderId="25" xfId="0" applyFont="1" applyFill="1" applyBorder="1"/>
    <xf numFmtId="0" fontId="39" fillId="0" borderId="22" xfId="0" applyFont="1" applyFill="1" applyBorder="1"/>
    <xf numFmtId="0" fontId="42" fillId="0" borderId="22" xfId="0" applyFont="1" applyFill="1" applyBorder="1"/>
    <xf numFmtId="0" fontId="42" fillId="0" borderId="22" xfId="0" applyFont="1" applyBorder="1"/>
    <xf numFmtId="0" fontId="2" fillId="27" borderId="40" xfId="0" applyFont="1" applyFill="1" applyBorder="1" applyAlignment="1">
      <alignment wrapText="1"/>
    </xf>
    <xf numFmtId="0" fontId="0" fillId="0" borderId="19" xfId="0" applyBorder="1"/>
    <xf numFmtId="0" fontId="0" fillId="0" borderId="41" xfId="0" applyBorder="1"/>
    <xf numFmtId="0" fontId="35" fillId="0" borderId="45" xfId="0" applyFont="1" applyFill="1" applyBorder="1" applyAlignment="1">
      <alignment wrapText="1"/>
    </xf>
    <xf numFmtId="0" fontId="3" fillId="27" borderId="23" xfId="0" applyFont="1" applyFill="1" applyBorder="1" applyAlignment="1">
      <alignment wrapText="1"/>
    </xf>
    <xf numFmtId="0" fontId="3" fillId="27" borderId="29" xfId="0" applyFont="1" applyFill="1" applyBorder="1" applyAlignment="1">
      <alignment wrapText="1"/>
    </xf>
    <xf numFmtId="0" fontId="36" fillId="26" borderId="29" xfId="0" applyFont="1" applyFill="1" applyBorder="1" applyAlignment="1">
      <alignment horizontal="center" wrapText="1"/>
    </xf>
    <xf numFmtId="0" fontId="31" fillId="0" borderId="39" xfId="0" applyFont="1" applyBorder="1" applyAlignment="1">
      <alignment vertical="center" wrapText="1"/>
    </xf>
    <xf numFmtId="0" fontId="35" fillId="0" borderId="46" xfId="0" applyFont="1" applyFill="1" applyBorder="1" applyAlignment="1">
      <alignment wrapText="1"/>
    </xf>
    <xf numFmtId="0" fontId="0" fillId="0" borderId="28" xfId="0" applyBorder="1"/>
    <xf numFmtId="0" fontId="0" fillId="0" borderId="43" xfId="0" applyBorder="1"/>
    <xf numFmtId="0" fontId="27" fillId="26" borderId="32" xfId="0" applyFont="1" applyFill="1" applyBorder="1" applyAlignment="1">
      <alignment horizontal="center" vertical="center" wrapText="1"/>
    </xf>
    <xf numFmtId="0" fontId="38" fillId="0" borderId="19" xfId="0" applyFont="1" applyBorder="1"/>
    <xf numFmtId="0" fontId="27" fillId="26" borderId="44" xfId="0" applyFont="1" applyFill="1" applyBorder="1" applyAlignment="1">
      <alignment horizontal="center" vertical="center"/>
    </xf>
    <xf numFmtId="0" fontId="2" fillId="0" borderId="0" xfId="0" applyFont="1" applyBorder="1"/>
    <xf numFmtId="0" fontId="32" fillId="0" borderId="0" xfId="64" applyFont="1" applyFill="1" applyBorder="1" applyAlignment="1"/>
    <xf numFmtId="0" fontId="31" fillId="0" borderId="0" xfId="0" applyFont="1" applyBorder="1" applyAlignment="1"/>
    <xf numFmtId="0" fontId="43" fillId="0" borderId="0" xfId="64" applyFont="1" applyFill="1" applyBorder="1" applyAlignment="1"/>
    <xf numFmtId="0" fontId="31" fillId="0" borderId="42" xfId="0" applyFont="1" applyBorder="1" applyAlignment="1"/>
    <xf numFmtId="0" fontId="31" fillId="0" borderId="0" xfId="0" applyFont="1" applyAlignment="1"/>
    <xf numFmtId="0" fontId="44" fillId="0" borderId="0" xfId="0" applyFont="1" applyAlignment="1"/>
    <xf numFmtId="9" fontId="0" fillId="0" borderId="0" xfId="108" applyFont="1" applyBorder="1"/>
    <xf numFmtId="9" fontId="0" fillId="0" borderId="0" xfId="108" applyFont="1" applyFill="1" applyBorder="1"/>
    <xf numFmtId="9" fontId="0" fillId="0" borderId="42" xfId="108" applyFont="1" applyBorder="1"/>
    <xf numFmtId="9" fontId="40" fillId="0" borderId="0" xfId="108" applyFont="1" applyBorder="1"/>
    <xf numFmtId="9" fontId="0" fillId="0" borderId="0" xfId="108" applyFont="1"/>
    <xf numFmtId="9" fontId="0" fillId="0" borderId="41" xfId="108" applyFont="1" applyBorder="1"/>
    <xf numFmtId="9" fontId="0" fillId="0" borderId="43" xfId="108" applyFont="1" applyBorder="1"/>
    <xf numFmtId="0" fontId="39" fillId="27" borderId="24" xfId="0" applyFont="1" applyFill="1" applyBorder="1"/>
    <xf numFmtId="0" fontId="42" fillId="29" borderId="26" xfId="0" applyFont="1" applyFill="1" applyBorder="1"/>
    <xf numFmtId="44" fontId="42" fillId="0" borderId="25" xfId="0" applyNumberFormat="1" applyFont="1" applyFill="1" applyBorder="1"/>
    <xf numFmtId="44" fontId="39" fillId="0" borderId="22" xfId="0" applyNumberFormat="1" applyFont="1" applyFill="1" applyBorder="1"/>
    <xf numFmtId="2" fontId="0" fillId="0" borderId="0" xfId="0" applyNumberFormat="1" applyFont="1" applyBorder="1"/>
    <xf numFmtId="2" fontId="0" fillId="0" borderId="0" xfId="0" applyNumberFormat="1" applyFont="1" applyBorder="1" applyAlignment="1"/>
    <xf numFmtId="2" fontId="30" fillId="0" borderId="0" xfId="64" applyNumberFormat="1" applyFont="1" applyFill="1" applyBorder="1" applyAlignment="1">
      <alignment horizontal="left"/>
    </xf>
    <xf numFmtId="2" fontId="30" fillId="0" borderId="0" xfId="64" applyNumberFormat="1" applyFont="1" applyFill="1" applyBorder="1" applyAlignment="1">
      <alignment horizontal="center"/>
    </xf>
    <xf numFmtId="2" fontId="37" fillId="0" borderId="0" xfId="64" applyNumberFormat="1" applyFont="1" applyBorder="1"/>
    <xf numFmtId="2" fontId="26" fillId="2" borderId="0" xfId="3" applyNumberFormat="1" applyFont="1" applyFill="1" applyBorder="1" applyAlignment="1"/>
    <xf numFmtId="2" fontId="0" fillId="0" borderId="0" xfId="3" applyNumberFormat="1" applyFont="1" applyFill="1" applyBorder="1" applyAlignment="1"/>
    <xf numFmtId="2" fontId="0" fillId="0" borderId="42" xfId="0" applyNumberFormat="1" applyFont="1" applyBorder="1"/>
    <xf numFmtId="2" fontId="0" fillId="0" borderId="42" xfId="0" applyNumberFormat="1" applyFont="1" applyBorder="1" applyAlignment="1"/>
    <xf numFmtId="2" fontId="29" fillId="0" borderId="0" xfId="0" applyNumberFormat="1" applyFont="1" applyBorder="1"/>
    <xf numFmtId="2" fontId="40" fillId="0" borderId="0" xfId="0" applyNumberFormat="1" applyFont="1" applyBorder="1" applyAlignment="1"/>
    <xf numFmtId="2" fontId="29" fillId="0" borderId="0" xfId="0" applyNumberFormat="1" applyFont="1"/>
    <xf numFmtId="2" fontId="0" fillId="0" borderId="0" xfId="0" applyNumberFormat="1" applyFont="1" applyAlignment="1"/>
    <xf numFmtId="2" fontId="0" fillId="0" borderId="0" xfId="0" applyNumberFormat="1" applyFont="1"/>
    <xf numFmtId="2" fontId="0" fillId="0" borderId="0" xfId="0" applyNumberFormat="1" applyFont="1" applyAlignment="1">
      <alignment vertical="center"/>
    </xf>
    <xf numFmtId="2" fontId="0" fillId="0" borderId="0" xfId="107" applyNumberFormat="1" applyFont="1" applyBorder="1"/>
    <xf numFmtId="2" fontId="32" fillId="0" borderId="0" xfId="107" applyNumberFormat="1" applyFont="1" applyFill="1" applyBorder="1" applyAlignment="1">
      <alignment horizontal="left"/>
    </xf>
    <xf numFmtId="2" fontId="0" fillId="0" borderId="42" xfId="107" applyNumberFormat="1" applyFont="1" applyBorder="1"/>
    <xf numFmtId="2" fontId="29" fillId="0" borderId="0" xfId="107" applyNumberFormat="1" applyFont="1" applyBorder="1"/>
    <xf numFmtId="2" fontId="29" fillId="0" borderId="0" xfId="107" applyNumberFormat="1" applyFont="1"/>
    <xf numFmtId="2" fontId="40" fillId="0" borderId="0" xfId="107" applyNumberFormat="1" applyFont="1"/>
    <xf numFmtId="2" fontId="40" fillId="0" borderId="0" xfId="107" applyNumberFormat="1" applyFont="1" applyBorder="1"/>
    <xf numFmtId="2" fontId="40" fillId="0" borderId="0" xfId="107" applyNumberFormat="1" applyFont="1" applyFill="1" applyBorder="1"/>
    <xf numFmtId="2" fontId="0" fillId="0" borderId="0" xfId="107" applyNumberFormat="1" applyFont="1"/>
    <xf numFmtId="0" fontId="34" fillId="0" borderId="13" xfId="64" applyFont="1" applyBorder="1"/>
    <xf numFmtId="164" fontId="32" fillId="0" borderId="15" xfId="102" applyFont="1" applyFill="1" applyBorder="1" applyAlignment="1">
      <alignment vertical="center"/>
    </xf>
    <xf numFmtId="0" fontId="0" fillId="0" borderId="43" xfId="0" applyFont="1" applyBorder="1" applyAlignment="1">
      <alignment vertical="center"/>
    </xf>
    <xf numFmtId="0" fontId="45" fillId="0" borderId="19" xfId="0" applyFont="1" applyBorder="1"/>
    <xf numFmtId="0" fontId="46" fillId="0" borderId="19" xfId="64" applyFont="1" applyFill="1" applyBorder="1" applyAlignment="1"/>
    <xf numFmtId="0" fontId="46" fillId="0" borderId="19" xfId="64" applyFont="1" applyBorder="1"/>
    <xf numFmtId="0" fontId="48" fillId="0" borderId="28" xfId="0" applyFont="1" applyBorder="1"/>
    <xf numFmtId="0" fontId="29" fillId="0" borderId="37" xfId="0" applyFont="1" applyBorder="1" applyAlignment="1">
      <alignment vertical="center" wrapText="1"/>
    </xf>
    <xf numFmtId="0" fontId="29" fillId="0" borderId="2" xfId="0" applyFont="1" applyBorder="1" applyAlignment="1">
      <alignment vertical="center" wrapText="1"/>
    </xf>
    <xf numFmtId="2" fontId="29" fillId="0" borderId="1" xfId="106" applyNumberFormat="1" applyFont="1" applyBorder="1" applyAlignment="1">
      <alignment vertical="center" wrapText="1"/>
    </xf>
    <xf numFmtId="2" fontId="29" fillId="0" borderId="1" xfId="1" applyNumberFormat="1" applyFont="1" applyBorder="1" applyAlignment="1">
      <alignment vertical="center"/>
    </xf>
    <xf numFmtId="2" fontId="29" fillId="0" borderId="2" xfId="1" applyNumberFormat="1" applyFont="1" applyBorder="1" applyAlignment="1">
      <alignment vertical="center"/>
    </xf>
    <xf numFmtId="2" fontId="49" fillId="27" borderId="16" xfId="3" applyNumberFormat="1" applyFont="1" applyFill="1" applyBorder="1" applyAlignment="1">
      <alignment vertical="center"/>
    </xf>
    <xf numFmtId="2" fontId="29" fillId="0" borderId="11" xfId="106" applyNumberFormat="1" applyFont="1" applyBorder="1" applyAlignment="1">
      <alignment vertical="center" wrapText="1"/>
    </xf>
    <xf numFmtId="0" fontId="29" fillId="0" borderId="12" xfId="0" applyFont="1" applyBorder="1" applyAlignment="1">
      <alignment vertical="center" wrapText="1"/>
    </xf>
    <xf numFmtId="2" fontId="29" fillId="0" borderId="12" xfId="1" applyNumberFormat="1" applyFont="1" applyBorder="1" applyAlignment="1">
      <alignment vertical="center"/>
    </xf>
    <xf numFmtId="2" fontId="49" fillId="28" borderId="1" xfId="0" applyNumberFormat="1" applyFont="1" applyFill="1" applyBorder="1" applyAlignment="1">
      <alignment vertical="center"/>
    </xf>
    <xf numFmtId="2" fontId="29" fillId="0" borderId="1" xfId="0" applyNumberFormat="1" applyFont="1" applyBorder="1" applyAlignment="1">
      <alignment vertical="center"/>
    </xf>
    <xf numFmtId="0" fontId="49" fillId="27" borderId="38" xfId="0" applyFont="1" applyFill="1" applyBorder="1" applyAlignment="1">
      <alignment vertical="center" wrapText="1"/>
    </xf>
    <xf numFmtId="0" fontId="49" fillId="27" borderId="17" xfId="0" applyFont="1" applyFill="1" applyBorder="1" applyAlignment="1">
      <alignment vertical="center" wrapText="1"/>
    </xf>
    <xf numFmtId="2" fontId="49" fillId="27" borderId="16" xfId="107" applyNumberFormat="1" applyFont="1" applyFill="1" applyBorder="1" applyAlignment="1">
      <alignment vertical="center" wrapText="1"/>
    </xf>
    <xf numFmtId="2" fontId="49" fillId="27" borderId="16" xfId="0" applyNumberFormat="1" applyFont="1" applyFill="1" applyBorder="1" applyAlignment="1">
      <alignment vertical="center" wrapText="1"/>
    </xf>
    <xf numFmtId="2" fontId="29" fillId="27" borderId="30" xfId="0" applyNumberFormat="1" applyFont="1" applyFill="1" applyBorder="1" applyAlignment="1">
      <alignment vertical="center"/>
    </xf>
    <xf numFmtId="2" fontId="29" fillId="28" borderId="11" xfId="0" applyNumberFormat="1" applyFont="1" applyFill="1" applyBorder="1" applyAlignment="1">
      <alignment vertical="center"/>
    </xf>
    <xf numFmtId="2" fontId="49" fillId="28" borderId="11" xfId="0" applyNumberFormat="1" applyFont="1" applyFill="1" applyBorder="1" applyAlignment="1">
      <alignment vertical="center"/>
    </xf>
    <xf numFmtId="2" fontId="29" fillId="27" borderId="30" xfId="1" applyNumberFormat="1" applyFont="1" applyFill="1" applyBorder="1" applyAlignment="1">
      <alignment vertical="center"/>
    </xf>
    <xf numFmtId="2" fontId="29" fillId="2" borderId="1" xfId="0" applyNumberFormat="1" applyFont="1" applyFill="1" applyBorder="1" applyAlignment="1">
      <alignment vertical="center"/>
    </xf>
    <xf numFmtId="9" fontId="49" fillId="2" borderId="1" xfId="108" applyFont="1" applyFill="1" applyBorder="1" applyAlignment="1">
      <alignment vertical="center"/>
    </xf>
    <xf numFmtId="9" fontId="49" fillId="2" borderId="21" xfId="108" applyFont="1" applyFill="1" applyBorder="1" applyAlignment="1">
      <alignment vertical="center"/>
    </xf>
    <xf numFmtId="2" fontId="29" fillId="0" borderId="1" xfId="0" applyNumberFormat="1" applyFont="1" applyFill="1" applyBorder="1" applyAlignment="1">
      <alignment vertical="center"/>
    </xf>
    <xf numFmtId="9" fontId="49" fillId="0" borderId="1" xfId="108" applyFont="1" applyFill="1" applyBorder="1" applyAlignment="1">
      <alignment vertical="center"/>
    </xf>
    <xf numFmtId="9" fontId="49" fillId="0" borderId="21" xfId="108" applyFont="1" applyFill="1" applyBorder="1" applyAlignment="1">
      <alignment vertical="center"/>
    </xf>
    <xf numFmtId="9" fontId="29" fillId="28" borderId="11" xfId="108" applyFont="1" applyFill="1" applyBorder="1" applyAlignment="1">
      <alignment vertical="center"/>
    </xf>
    <xf numFmtId="9" fontId="29" fillId="28" borderId="18" xfId="108" applyFont="1" applyFill="1" applyBorder="1" applyAlignment="1">
      <alignment vertical="center"/>
    </xf>
    <xf numFmtId="9" fontId="29" fillId="0" borderId="1" xfId="108" applyFont="1" applyBorder="1" applyAlignment="1">
      <alignment vertical="center"/>
    </xf>
    <xf numFmtId="9" fontId="29" fillId="0" borderId="21" xfId="108" applyFont="1" applyBorder="1" applyAlignment="1">
      <alignment vertical="center"/>
    </xf>
    <xf numFmtId="0" fontId="28" fillId="26" borderId="30" xfId="0" applyFont="1" applyFill="1" applyBorder="1" applyAlignment="1">
      <alignment vertical="center" wrapText="1"/>
    </xf>
    <xf numFmtId="2" fontId="49" fillId="26" borderId="31" xfId="0" applyNumberFormat="1" applyFont="1" applyFill="1" applyBorder="1" applyAlignment="1">
      <alignment vertical="center"/>
    </xf>
    <xf numFmtId="9" fontId="49" fillId="26" borderId="29" xfId="108" applyFont="1" applyFill="1" applyBorder="1" applyAlignment="1">
      <alignment vertical="center"/>
    </xf>
    <xf numFmtId="9" fontId="49" fillId="28" borderId="1" xfId="108" applyFont="1" applyFill="1" applyBorder="1" applyAlignment="1">
      <alignment vertical="center"/>
    </xf>
    <xf numFmtId="9" fontId="49" fillId="28" borderId="21" xfId="108" applyFont="1" applyFill="1" applyBorder="1" applyAlignment="1">
      <alignment vertical="center"/>
    </xf>
    <xf numFmtId="2" fontId="29" fillId="0" borderId="1" xfId="107" applyNumberFormat="1" applyFont="1" applyBorder="1" applyAlignment="1">
      <alignment vertical="center" wrapText="1"/>
    </xf>
    <xf numFmtId="9" fontId="49" fillId="0" borderId="1" xfId="108" applyFont="1" applyBorder="1" applyAlignment="1">
      <alignment vertical="center"/>
    </xf>
    <xf numFmtId="9" fontId="49" fillId="0" borderId="21" xfId="108" applyFont="1" applyBorder="1" applyAlignment="1">
      <alignment vertical="center"/>
    </xf>
    <xf numFmtId="9" fontId="49" fillId="27" borderId="30" xfId="108" applyFont="1" applyFill="1" applyBorder="1" applyAlignment="1">
      <alignment vertical="center"/>
    </xf>
    <xf numFmtId="9" fontId="49" fillId="27" borderId="29" xfId="108" applyFont="1" applyFill="1" applyBorder="1" applyAlignment="1">
      <alignment vertical="center"/>
    </xf>
    <xf numFmtId="9" fontId="49" fillId="28" borderId="11" xfId="108" applyFont="1" applyFill="1" applyBorder="1" applyAlignment="1">
      <alignment vertical="center"/>
    </xf>
    <xf numFmtId="9" fontId="49" fillId="28" borderId="18" xfId="108" applyFont="1" applyFill="1" applyBorder="1" applyAlignment="1">
      <alignment vertical="center"/>
    </xf>
    <xf numFmtId="2" fontId="29" fillId="0" borderId="11" xfId="107" applyNumberFormat="1" applyFont="1" applyBorder="1" applyAlignment="1">
      <alignment vertical="center" wrapText="1"/>
    </xf>
    <xf numFmtId="2" fontId="29" fillId="0" borderId="2" xfId="107" applyNumberFormat="1" applyFont="1" applyBorder="1" applyAlignment="1">
      <alignment vertical="center" wrapText="1"/>
    </xf>
    <xf numFmtId="0" fontId="28" fillId="26" borderId="40" xfId="0" applyFont="1" applyFill="1" applyBorder="1" applyAlignment="1">
      <alignment vertical="center" wrapText="1"/>
    </xf>
    <xf numFmtId="0" fontId="28" fillId="26" borderId="48" xfId="0" applyFont="1" applyFill="1" applyBorder="1" applyAlignment="1">
      <alignment vertical="center" wrapText="1"/>
    </xf>
    <xf numFmtId="2" fontId="28" fillId="26" borderId="30" xfId="107" applyNumberFormat="1" applyFont="1" applyFill="1" applyBorder="1" applyAlignment="1">
      <alignment vertical="center" wrapText="1"/>
    </xf>
    <xf numFmtId="2" fontId="28" fillId="26" borderId="30" xfId="0" applyNumberFormat="1" applyFont="1" applyFill="1" applyBorder="1" applyAlignment="1">
      <alignment vertical="center" wrapText="1"/>
    </xf>
    <xf numFmtId="2" fontId="29" fillId="0" borderId="1" xfId="1" applyNumberFormat="1" applyFont="1" applyBorder="1" applyAlignment="1">
      <alignment vertical="center" wrapText="1"/>
    </xf>
    <xf numFmtId="2" fontId="29" fillId="0" borderId="1" xfId="0" applyNumberFormat="1" applyFont="1" applyBorder="1" applyAlignment="1">
      <alignment vertical="center" wrapText="1"/>
    </xf>
    <xf numFmtId="2" fontId="29" fillId="0" borderId="2" xfId="0" applyNumberFormat="1" applyFont="1" applyBorder="1" applyAlignment="1">
      <alignment vertical="center" wrapText="1"/>
    </xf>
    <xf numFmtId="0" fontId="50" fillId="0" borderId="0" xfId="0" applyFont="1" applyBorder="1"/>
    <xf numFmtId="165" fontId="42" fillId="29" borderId="26" xfId="0" applyNumberFormat="1" applyFont="1" applyFill="1" applyBorder="1"/>
    <xf numFmtId="165" fontId="51" fillId="27" borderId="24" xfId="0" applyNumberFormat="1" applyFont="1" applyFill="1" applyBorder="1" applyAlignment="1"/>
    <xf numFmtId="165" fontId="51" fillId="0" borderId="27" xfId="0" applyNumberFormat="1" applyFont="1" applyFill="1" applyBorder="1" applyAlignment="1">
      <alignment horizontal="center"/>
    </xf>
    <xf numFmtId="44" fontId="39" fillId="29" borderId="22" xfId="0" applyNumberFormat="1" applyFont="1" applyFill="1" applyBorder="1"/>
    <xf numFmtId="170" fontId="28" fillId="25" borderId="1" xfId="0" applyNumberFormat="1" applyFont="1" applyFill="1" applyBorder="1" applyAlignment="1">
      <alignment vertical="center"/>
    </xf>
    <xf numFmtId="0" fontId="28" fillId="25" borderId="1" xfId="0" applyFont="1" applyFill="1" applyBorder="1" applyAlignment="1">
      <alignment vertical="center"/>
    </xf>
    <xf numFmtId="0" fontId="28" fillId="25" borderId="21" xfId="0" applyFont="1" applyFill="1" applyBorder="1" applyAlignment="1">
      <alignment vertical="center"/>
    </xf>
    <xf numFmtId="0" fontId="49" fillId="28" borderId="13" xfId="0" applyFont="1" applyFill="1" applyBorder="1" applyAlignment="1">
      <alignment vertical="center" wrapText="1"/>
    </xf>
    <xf numFmtId="0" fontId="49" fillId="28" borderId="14" xfId="0" applyFont="1" applyFill="1" applyBorder="1" applyAlignment="1">
      <alignment vertical="center" wrapText="1"/>
    </xf>
    <xf numFmtId="0" fontId="28" fillId="25" borderId="20" xfId="0" applyFont="1" applyFill="1" applyBorder="1" applyAlignment="1">
      <alignment vertical="center" wrapText="1"/>
    </xf>
    <xf numFmtId="0" fontId="28" fillId="25" borderId="3" xfId="0" applyFont="1" applyFill="1" applyBorder="1" applyAlignment="1">
      <alignment vertical="center" wrapText="1"/>
    </xf>
    <xf numFmtId="0" fontId="2" fillId="0" borderId="19" xfId="0" applyFont="1" applyBorder="1"/>
    <xf numFmtId="0" fontId="2" fillId="0" borderId="41" xfId="0" applyFont="1" applyBorder="1"/>
    <xf numFmtId="0" fontId="32" fillId="0" borderId="19" xfId="64" applyFont="1" applyFill="1" applyBorder="1" applyAlignment="1"/>
    <xf numFmtId="0" fontId="32" fillId="0" borderId="41" xfId="64" applyFont="1" applyFill="1" applyBorder="1" applyAlignment="1"/>
    <xf numFmtId="0" fontId="34" fillId="0" borderId="19" xfId="64" applyFont="1" applyBorder="1"/>
    <xf numFmtId="0" fontId="34" fillId="0" borderId="41" xfId="64" applyFont="1" applyBorder="1"/>
    <xf numFmtId="0" fontId="52" fillId="0" borderId="13" xfId="0" applyFont="1" applyBorder="1" applyAlignment="1">
      <alignment horizontal="center"/>
    </xf>
    <xf numFmtId="0" fontId="52" fillId="0" borderId="14" xfId="0" applyFont="1" applyBorder="1" applyAlignment="1">
      <alignment horizontal="center"/>
    </xf>
    <xf numFmtId="0" fontId="52" fillId="0" borderId="15" xfId="0" applyFont="1" applyBorder="1" applyAlignment="1">
      <alignment horizontal="center"/>
    </xf>
    <xf numFmtId="0" fontId="52" fillId="0" borderId="19" xfId="0" applyFont="1" applyBorder="1" applyAlignment="1">
      <alignment horizontal="center"/>
    </xf>
    <xf numFmtId="0" fontId="52" fillId="0" borderId="0" xfId="0" applyFont="1" applyBorder="1" applyAlignment="1">
      <alignment horizontal="center"/>
    </xf>
    <xf numFmtId="0" fontId="52" fillId="0" borderId="41" xfId="0" applyFont="1" applyBorder="1" applyAlignment="1">
      <alignment horizontal="center"/>
    </xf>
    <xf numFmtId="0" fontId="28" fillId="26" borderId="32" xfId="0" applyFont="1" applyFill="1" applyBorder="1" applyAlignment="1">
      <alignment horizontal="center" vertical="center" wrapText="1"/>
    </xf>
    <xf numFmtId="0" fontId="28" fillId="26" borderId="47" xfId="0" applyFont="1" applyFill="1" applyBorder="1" applyAlignment="1">
      <alignment horizontal="center" vertical="center" wrapText="1"/>
    </xf>
    <xf numFmtId="0" fontId="28" fillId="26" borderId="33" xfId="0" applyFont="1" applyFill="1" applyBorder="1" applyAlignment="1">
      <alignment horizontal="center" vertical="center" wrapText="1"/>
    </xf>
    <xf numFmtId="2" fontId="28" fillId="26" borderId="33" xfId="107" applyNumberFormat="1" applyFont="1" applyFill="1" applyBorder="1" applyAlignment="1">
      <alignment horizontal="center" vertical="center" wrapText="1"/>
    </xf>
    <xf numFmtId="2" fontId="28" fillId="26" borderId="33" xfId="0" applyNumberFormat="1" applyFont="1" applyFill="1" applyBorder="1" applyAlignment="1">
      <alignment horizontal="center" vertical="center" wrapText="1"/>
    </xf>
    <xf numFmtId="169" fontId="28" fillId="26" borderId="34" xfId="1" applyNumberFormat="1" applyFont="1" applyFill="1" applyBorder="1" applyAlignment="1">
      <alignment horizontal="center" vertical="center"/>
    </xf>
    <xf numFmtId="169" fontId="28" fillId="26" borderId="35" xfId="1" applyNumberFormat="1" applyFont="1" applyFill="1" applyBorder="1" applyAlignment="1">
      <alignment horizontal="center" vertical="center"/>
    </xf>
    <xf numFmtId="169" fontId="28" fillId="26" borderId="36" xfId="1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10">
    <cellStyle name="20% - Accent1 2" xfId="7" xr:uid="{00000000-0005-0000-0000-000000000000}"/>
    <cellStyle name="20% - Accent2 2" xfId="8" xr:uid="{00000000-0005-0000-0000-000001000000}"/>
    <cellStyle name="20% - Accent3 2" xfId="9" xr:uid="{00000000-0005-0000-0000-000002000000}"/>
    <cellStyle name="20% - Accent4 2" xfId="10" xr:uid="{00000000-0005-0000-0000-000003000000}"/>
    <cellStyle name="20% - Accent5 2" xfId="11" xr:uid="{00000000-0005-0000-0000-000004000000}"/>
    <cellStyle name="20% - Accent6 2" xfId="12" xr:uid="{00000000-0005-0000-0000-000005000000}"/>
    <cellStyle name="40% - Accent1 2" xfId="13" xr:uid="{00000000-0005-0000-0000-000006000000}"/>
    <cellStyle name="40% - Accent2 2" xfId="14" xr:uid="{00000000-0005-0000-0000-000007000000}"/>
    <cellStyle name="40% - Accent3 2" xfId="15" xr:uid="{00000000-0005-0000-0000-000008000000}"/>
    <cellStyle name="40% - Accent4 2" xfId="16" xr:uid="{00000000-0005-0000-0000-000009000000}"/>
    <cellStyle name="40% - Accent5 2" xfId="17" xr:uid="{00000000-0005-0000-0000-00000A000000}"/>
    <cellStyle name="40% - Accent6 2" xfId="18" xr:uid="{00000000-0005-0000-0000-00000B000000}"/>
    <cellStyle name="60% - Accent1 2" xfId="19" xr:uid="{00000000-0005-0000-0000-00000C000000}"/>
    <cellStyle name="60% - Accent2 2" xfId="20" xr:uid="{00000000-0005-0000-0000-00000D000000}"/>
    <cellStyle name="60% - Accent3 2" xfId="21" xr:uid="{00000000-0005-0000-0000-00000E000000}"/>
    <cellStyle name="60% - Accent4 2" xfId="22" xr:uid="{00000000-0005-0000-0000-00000F000000}"/>
    <cellStyle name="60% - Accent5 2" xfId="23" xr:uid="{00000000-0005-0000-0000-000010000000}"/>
    <cellStyle name="60% - Accent6 2" xfId="24" xr:uid="{00000000-0005-0000-0000-000011000000}"/>
    <cellStyle name="Accent1 2" xfId="25" xr:uid="{00000000-0005-0000-0000-000012000000}"/>
    <cellStyle name="Accent2 2" xfId="26" xr:uid="{00000000-0005-0000-0000-000013000000}"/>
    <cellStyle name="Accent3 2" xfId="27" xr:uid="{00000000-0005-0000-0000-000014000000}"/>
    <cellStyle name="Accent4 2" xfId="28" xr:uid="{00000000-0005-0000-0000-000015000000}"/>
    <cellStyle name="Accent5 2" xfId="29" xr:uid="{00000000-0005-0000-0000-000016000000}"/>
    <cellStyle name="Accent6 2" xfId="30" xr:uid="{00000000-0005-0000-0000-000017000000}"/>
    <cellStyle name="Bad 2" xfId="31" xr:uid="{00000000-0005-0000-0000-000018000000}"/>
    <cellStyle name="Calculation 2" xfId="32" xr:uid="{00000000-0005-0000-0000-000019000000}"/>
    <cellStyle name="Check Cell 2" xfId="33" xr:uid="{00000000-0005-0000-0000-00001A000000}"/>
    <cellStyle name="Comma" xfId="1" builtinId="3"/>
    <cellStyle name="Comma 2" xfId="35" xr:uid="{00000000-0005-0000-0000-00001C000000}"/>
    <cellStyle name="Comma 2 2" xfId="36" xr:uid="{00000000-0005-0000-0000-00001D000000}"/>
    <cellStyle name="Comma 2 2 2" xfId="89" xr:uid="{00000000-0005-0000-0000-00001E000000}"/>
    <cellStyle name="Comma 2 3" xfId="87" xr:uid="{00000000-0005-0000-0000-00001F000000}"/>
    <cellStyle name="Comma 2 4" xfId="98" xr:uid="{00000000-0005-0000-0000-000020000000}"/>
    <cellStyle name="Comma 2 5" xfId="103" xr:uid="{00000000-0005-0000-0000-000021000000}"/>
    <cellStyle name="Comma 3" xfId="37" xr:uid="{00000000-0005-0000-0000-000022000000}"/>
    <cellStyle name="Comma 3 2" xfId="106" xr:uid="{00000000-0005-0000-0000-000023000000}"/>
    <cellStyle name="Comma 4" xfId="38" xr:uid="{00000000-0005-0000-0000-000024000000}"/>
    <cellStyle name="Comma 4 2" xfId="102" xr:uid="{00000000-0005-0000-0000-000025000000}"/>
    <cellStyle name="Comma 5" xfId="39" xr:uid="{00000000-0005-0000-0000-000026000000}"/>
    <cellStyle name="Comma 5 2" xfId="101" xr:uid="{00000000-0005-0000-0000-000027000000}"/>
    <cellStyle name="Comma 6" xfId="34" xr:uid="{00000000-0005-0000-0000-000028000000}"/>
    <cellStyle name="Comma 7" xfId="4" xr:uid="{00000000-0005-0000-0000-000029000000}"/>
    <cellStyle name="Comma0" xfId="40" xr:uid="{00000000-0005-0000-0000-00002A000000}"/>
    <cellStyle name="Currency" xfId="107" builtinId="4"/>
    <cellStyle name="Currency 10 3" xfId="42" xr:uid="{00000000-0005-0000-0000-00002C000000}"/>
    <cellStyle name="Currency 2" xfId="2" xr:uid="{00000000-0005-0000-0000-00002D000000}"/>
    <cellStyle name="Currency 2 2" xfId="44" xr:uid="{00000000-0005-0000-0000-00002E000000}"/>
    <cellStyle name="Currency 2 3" xfId="88" xr:uid="{00000000-0005-0000-0000-00002F000000}"/>
    <cellStyle name="Currency 2 4" xfId="43" xr:uid="{00000000-0005-0000-0000-000030000000}"/>
    <cellStyle name="Currency 3" xfId="45" xr:uid="{00000000-0005-0000-0000-000031000000}"/>
    <cellStyle name="Currency 3 2" xfId="46" xr:uid="{00000000-0005-0000-0000-000032000000}"/>
    <cellStyle name="Currency 4" xfId="47" xr:uid="{00000000-0005-0000-0000-000033000000}"/>
    <cellStyle name="Currency 5" xfId="48" xr:uid="{00000000-0005-0000-0000-000034000000}"/>
    <cellStyle name="Currency 6" xfId="84" xr:uid="{00000000-0005-0000-0000-000035000000}"/>
    <cellStyle name="Currency 6 2" xfId="95" xr:uid="{00000000-0005-0000-0000-000036000000}"/>
    <cellStyle name="Currency 7" xfId="91" xr:uid="{00000000-0005-0000-0000-000037000000}"/>
    <cellStyle name="Currency 7 2" xfId="97" xr:uid="{00000000-0005-0000-0000-000038000000}"/>
    <cellStyle name="Currency 8" xfId="92" xr:uid="{00000000-0005-0000-0000-000039000000}"/>
    <cellStyle name="Currency 9" xfId="41" xr:uid="{00000000-0005-0000-0000-00003A000000}"/>
    <cellStyle name="Currency_Sheet1" xfId="3" xr:uid="{00000000-0005-0000-0000-00003B000000}"/>
    <cellStyle name="Currency0" xfId="49" xr:uid="{00000000-0005-0000-0000-00003C000000}"/>
    <cellStyle name="Date" xfId="50" xr:uid="{00000000-0005-0000-0000-00003D000000}"/>
    <cellStyle name="Euro" xfId="51" xr:uid="{00000000-0005-0000-0000-00003E000000}"/>
    <cellStyle name="Explanatory Text 2" xfId="52" xr:uid="{00000000-0005-0000-0000-00003F000000}"/>
    <cellStyle name="Fixed" xfId="53" xr:uid="{00000000-0005-0000-0000-000040000000}"/>
    <cellStyle name="Good 2" xfId="54" xr:uid="{00000000-0005-0000-0000-000041000000}"/>
    <cellStyle name="Heading 1 2" xfId="55" xr:uid="{00000000-0005-0000-0000-000042000000}"/>
    <cellStyle name="Heading 2 2" xfId="56" xr:uid="{00000000-0005-0000-0000-000043000000}"/>
    <cellStyle name="Heading 3 2" xfId="57" xr:uid="{00000000-0005-0000-0000-000044000000}"/>
    <cellStyle name="Heading 4 2" xfId="58" xr:uid="{00000000-0005-0000-0000-000045000000}"/>
    <cellStyle name="Heading1" xfId="59" xr:uid="{00000000-0005-0000-0000-000046000000}"/>
    <cellStyle name="Heading2" xfId="60" xr:uid="{00000000-0005-0000-0000-000047000000}"/>
    <cellStyle name="Hyperlink 2" xfId="104" xr:uid="{00000000-0005-0000-0000-000048000000}"/>
    <cellStyle name="Input 2" xfId="61" xr:uid="{00000000-0005-0000-0000-000049000000}"/>
    <cellStyle name="Linked Cell 2" xfId="62" xr:uid="{00000000-0005-0000-0000-00004A000000}"/>
    <cellStyle name="Neutral 2" xfId="63" xr:uid="{00000000-0005-0000-0000-00004B000000}"/>
    <cellStyle name="Normal" xfId="0" builtinId="0"/>
    <cellStyle name="Normal 2" xfId="64" xr:uid="{00000000-0005-0000-0000-00004D000000}"/>
    <cellStyle name="Normal 2 2" xfId="65" xr:uid="{00000000-0005-0000-0000-00004E000000}"/>
    <cellStyle name="Normal 2 3" xfId="66" xr:uid="{00000000-0005-0000-0000-00004F000000}"/>
    <cellStyle name="Normal 2 4" xfId="67" xr:uid="{00000000-0005-0000-0000-000050000000}"/>
    <cellStyle name="Normal 2 5" xfId="83" xr:uid="{00000000-0005-0000-0000-000051000000}"/>
    <cellStyle name="Normal 2 6" xfId="100" xr:uid="{00000000-0005-0000-0000-000052000000}"/>
    <cellStyle name="Normal 3" xfId="68" xr:uid="{00000000-0005-0000-0000-000053000000}"/>
    <cellStyle name="Normal 3 2" xfId="105" xr:uid="{00000000-0005-0000-0000-000054000000}"/>
    <cellStyle name="Normal 4" xfId="86" xr:uid="{00000000-0005-0000-0000-000055000000}"/>
    <cellStyle name="Normal 5" xfId="90" xr:uid="{00000000-0005-0000-0000-000056000000}"/>
    <cellStyle name="Normal 5 2" xfId="96" xr:uid="{00000000-0005-0000-0000-000057000000}"/>
    <cellStyle name="Normal 5 9" xfId="109" xr:uid="{00000000-0005-0000-0000-000058000000}"/>
    <cellStyle name="Normal 6" xfId="93" xr:uid="{00000000-0005-0000-0000-000059000000}"/>
    <cellStyle name="Normal 7" xfId="6" xr:uid="{00000000-0005-0000-0000-00005A000000}"/>
    <cellStyle name="Note 2" xfId="69" xr:uid="{00000000-0005-0000-0000-00005B000000}"/>
    <cellStyle name="Option" xfId="70" xr:uid="{00000000-0005-0000-0000-00005C000000}"/>
    <cellStyle name="Output 2" xfId="71" xr:uid="{00000000-0005-0000-0000-00005D000000}"/>
    <cellStyle name="Percent" xfId="108" builtinId="5"/>
    <cellStyle name="Percent 2" xfId="73" xr:uid="{00000000-0005-0000-0000-00005F000000}"/>
    <cellStyle name="Percent 2 2" xfId="74" xr:uid="{00000000-0005-0000-0000-000060000000}"/>
    <cellStyle name="Percent 2 3" xfId="85" xr:uid="{00000000-0005-0000-0000-000061000000}"/>
    <cellStyle name="Percent 2 4" xfId="99" xr:uid="{00000000-0005-0000-0000-000062000000}"/>
    <cellStyle name="Percent 2 5" xfId="5" xr:uid="{00000000-0005-0000-0000-000063000000}"/>
    <cellStyle name="Percent 3" xfId="75" xr:uid="{00000000-0005-0000-0000-000064000000}"/>
    <cellStyle name="Percent 4" xfId="94" xr:uid="{00000000-0005-0000-0000-000065000000}"/>
    <cellStyle name="Percent 5" xfId="72" xr:uid="{00000000-0005-0000-0000-000066000000}"/>
    <cellStyle name="Standard_Budget_Projects" xfId="76" xr:uid="{00000000-0005-0000-0000-000067000000}"/>
    <cellStyle name="Style 1" xfId="77" xr:uid="{00000000-0005-0000-0000-000068000000}"/>
    <cellStyle name="Title 2" xfId="78" xr:uid="{00000000-0005-0000-0000-000069000000}"/>
    <cellStyle name="Total 2" xfId="79" xr:uid="{00000000-0005-0000-0000-00006A000000}"/>
    <cellStyle name="Unit" xfId="80" xr:uid="{00000000-0005-0000-0000-00006B000000}"/>
    <cellStyle name="Warning Text 2" xfId="81" xr:uid="{00000000-0005-0000-0000-00006C000000}"/>
    <cellStyle name="Обычный_Budget_final_25_02_02" xfId="82" xr:uid="{00000000-0005-0000-0000-00006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635000</xdr:colOff>
      <xdr:row>0</xdr:row>
      <xdr:rowOff>1</xdr:rowOff>
    </xdr:from>
    <xdr:to>
      <xdr:col>7</xdr:col>
      <xdr:colOff>584200</xdr:colOff>
      <xdr:row>5</xdr:row>
      <xdr:rowOff>1569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771E539-9BBF-E74A-B08E-5F6B1D34B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75700" y="1"/>
          <a:ext cx="3136900" cy="95406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</xdr:col>
      <xdr:colOff>0</xdr:colOff>
      <xdr:row>5</xdr:row>
      <xdr:rowOff>187291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9550"/>
          <a:ext cx="8810625" cy="9492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51"/>
  <sheetViews>
    <sheetView tabSelected="1" topLeftCell="C1" zoomScaleNormal="100" workbookViewId="0">
      <selection activeCell="L17" sqref="L17"/>
    </sheetView>
  </sheetViews>
  <sheetFormatPr baseColWidth="10" defaultColWidth="9.1640625" defaultRowHeight="15"/>
  <cols>
    <col min="1" max="1" width="9.1640625" style="1"/>
    <col min="2" max="2" width="66.33203125" style="1" bestFit="1" customWidth="1"/>
    <col min="3" max="3" width="14.6640625" style="1" customWidth="1"/>
    <col min="4" max="4" width="16.6640625" style="50" bestFit="1" customWidth="1"/>
    <col min="5" max="6" width="14.6640625" style="86" customWidth="1"/>
    <col min="7" max="7" width="12.5" style="76" customWidth="1"/>
    <col min="8" max="8" width="22.5" style="76" bestFit="1" customWidth="1"/>
    <col min="9" max="9" width="32" style="75" customWidth="1"/>
    <col min="10" max="10" width="13" style="56" bestFit="1" customWidth="1"/>
    <col min="11" max="11" width="22.6640625" style="75" customWidth="1"/>
    <col min="12" max="12" width="15.33203125" style="56" customWidth="1"/>
    <col min="13" max="16384" width="9.1640625" style="1"/>
  </cols>
  <sheetData>
    <row r="1" spans="2:16">
      <c r="B1" s="162"/>
      <c r="C1" s="163"/>
      <c r="D1" s="163"/>
      <c r="E1" s="163"/>
      <c r="F1" s="163"/>
      <c r="G1" s="163"/>
      <c r="H1" s="163"/>
      <c r="I1" s="163"/>
      <c r="J1" s="163"/>
      <c r="K1" s="163"/>
      <c r="L1" s="164"/>
    </row>
    <row r="2" spans="2:16">
      <c r="B2" s="165"/>
      <c r="C2" s="166"/>
      <c r="D2" s="166"/>
      <c r="E2" s="166"/>
      <c r="F2" s="166"/>
      <c r="G2" s="166"/>
      <c r="H2" s="166"/>
      <c r="I2" s="166"/>
      <c r="J2" s="166"/>
      <c r="K2" s="166"/>
      <c r="L2" s="167"/>
    </row>
    <row r="3" spans="2:16">
      <c r="B3" s="165"/>
      <c r="C3" s="166"/>
      <c r="D3" s="166"/>
      <c r="E3" s="166"/>
      <c r="F3" s="166"/>
      <c r="G3" s="166"/>
      <c r="H3" s="166"/>
      <c r="I3" s="166"/>
      <c r="J3" s="166"/>
      <c r="K3" s="166"/>
      <c r="L3" s="167"/>
    </row>
    <row r="4" spans="2:16">
      <c r="B4" s="165"/>
      <c r="C4" s="166"/>
      <c r="D4" s="166"/>
      <c r="E4" s="166"/>
      <c r="F4" s="166"/>
      <c r="G4" s="166"/>
      <c r="H4" s="166"/>
      <c r="I4" s="166"/>
      <c r="J4" s="166"/>
      <c r="K4" s="166"/>
      <c r="L4" s="167"/>
    </row>
    <row r="5" spans="2:16">
      <c r="B5" s="165"/>
      <c r="C5" s="166"/>
      <c r="D5" s="166"/>
      <c r="E5" s="166"/>
      <c r="F5" s="166"/>
      <c r="G5" s="166"/>
      <c r="H5" s="166"/>
      <c r="I5" s="166"/>
      <c r="J5" s="166"/>
      <c r="K5" s="166"/>
      <c r="L5" s="167"/>
    </row>
    <row r="6" spans="2:16" ht="19">
      <c r="B6" s="90" t="s">
        <v>31</v>
      </c>
      <c r="C6" s="45"/>
      <c r="D6" s="47"/>
      <c r="E6" s="78"/>
      <c r="F6" s="78"/>
      <c r="G6" s="63"/>
      <c r="H6" s="63"/>
      <c r="I6" s="64"/>
      <c r="J6" s="52"/>
      <c r="K6" s="64"/>
      <c r="L6" s="57"/>
    </row>
    <row r="7" spans="2:16" ht="19">
      <c r="B7" s="91" t="s">
        <v>32</v>
      </c>
      <c r="C7" s="46"/>
      <c r="D7" s="48"/>
      <c r="E7" s="79"/>
      <c r="F7" s="79"/>
      <c r="G7" s="65"/>
      <c r="H7" s="66"/>
      <c r="I7" s="64"/>
      <c r="J7" s="52"/>
      <c r="K7" s="64"/>
      <c r="L7" s="57"/>
    </row>
    <row r="8" spans="2:16" ht="19">
      <c r="B8" s="91" t="s">
        <v>35</v>
      </c>
      <c r="C8" s="46"/>
      <c r="D8" s="48"/>
      <c r="E8" s="79"/>
      <c r="F8" s="79"/>
      <c r="G8" s="67"/>
      <c r="H8" s="66"/>
      <c r="I8" s="68"/>
      <c r="J8" s="53"/>
      <c r="K8" s="64"/>
      <c r="L8" s="57"/>
    </row>
    <row r="9" spans="2:16" ht="19">
      <c r="B9" s="92" t="s">
        <v>30</v>
      </c>
      <c r="C9" s="6"/>
      <c r="D9" s="48"/>
      <c r="E9" s="79"/>
      <c r="F9" s="79"/>
      <c r="G9" s="65"/>
      <c r="H9" s="66"/>
      <c r="I9" s="69"/>
      <c r="J9" s="53"/>
      <c r="K9" s="64"/>
      <c r="L9" s="57"/>
    </row>
    <row r="10" spans="2:16" ht="16">
      <c r="B10" s="24"/>
      <c r="C10" s="6"/>
      <c r="D10" s="48"/>
      <c r="E10" s="79"/>
      <c r="F10" s="79"/>
      <c r="G10" s="65"/>
      <c r="H10" s="66"/>
      <c r="I10" s="69"/>
      <c r="J10" s="53"/>
      <c r="K10" s="64"/>
      <c r="L10" s="57"/>
    </row>
    <row r="11" spans="2:16" ht="20" thickBot="1">
      <c r="B11" s="93" t="s">
        <v>29</v>
      </c>
      <c r="C11" s="26"/>
      <c r="D11" s="49"/>
      <c r="E11" s="80"/>
      <c r="F11" s="80"/>
      <c r="G11" s="70"/>
      <c r="H11" s="70"/>
      <c r="I11" s="71"/>
      <c r="J11" s="54"/>
      <c r="K11" s="71"/>
      <c r="L11" s="58"/>
    </row>
    <row r="12" spans="2:16" s="176" customFormat="1" ht="63" customHeight="1">
      <c r="B12" s="168" t="s">
        <v>0</v>
      </c>
      <c r="C12" s="169" t="s">
        <v>6</v>
      </c>
      <c r="D12" s="170" t="s">
        <v>7</v>
      </c>
      <c r="E12" s="171" t="s">
        <v>28</v>
      </c>
      <c r="F12" s="171" t="s">
        <v>27</v>
      </c>
      <c r="G12" s="172" t="s">
        <v>36</v>
      </c>
      <c r="H12" s="172" t="s">
        <v>37</v>
      </c>
      <c r="I12" s="173" t="s">
        <v>16</v>
      </c>
      <c r="J12" s="174"/>
      <c r="K12" s="174"/>
      <c r="L12" s="175"/>
    </row>
    <row r="13" spans="2:16" s="9" customFormat="1" ht="27" customHeight="1" thickBot="1">
      <c r="B13" s="154" t="s">
        <v>3</v>
      </c>
      <c r="C13" s="155"/>
      <c r="D13" s="155"/>
      <c r="E13" s="155"/>
      <c r="F13" s="155"/>
      <c r="G13" s="155"/>
      <c r="H13" s="155"/>
      <c r="I13" s="149" t="s">
        <v>17</v>
      </c>
      <c r="J13" s="149"/>
      <c r="K13" s="150" t="s">
        <v>20</v>
      </c>
      <c r="L13" s="151"/>
    </row>
    <row r="14" spans="2:16" ht="21">
      <c r="B14" s="152" t="s">
        <v>8</v>
      </c>
      <c r="C14" s="153"/>
      <c r="D14" s="153"/>
      <c r="E14" s="153"/>
      <c r="F14" s="153"/>
      <c r="G14" s="153"/>
      <c r="H14" s="153"/>
      <c r="I14" s="103"/>
      <c r="J14" s="126" t="s">
        <v>19</v>
      </c>
      <c r="K14" s="103"/>
      <c r="L14" s="127" t="s">
        <v>19</v>
      </c>
    </row>
    <row r="15" spans="2:16" ht="22">
      <c r="B15" s="94" t="s">
        <v>13</v>
      </c>
      <c r="C15" s="95"/>
      <c r="D15" s="141">
        <v>0</v>
      </c>
      <c r="E15" s="128">
        <v>0</v>
      </c>
      <c r="F15" s="128">
        <v>0</v>
      </c>
      <c r="G15" s="96">
        <v>0</v>
      </c>
      <c r="H15" s="97">
        <f>D15*G15</f>
        <v>0</v>
      </c>
      <c r="I15" s="104">
        <v>0</v>
      </c>
      <c r="J15" s="129">
        <v>0</v>
      </c>
      <c r="K15" s="104">
        <f>H15-I15</f>
        <v>0</v>
      </c>
      <c r="L15" s="130"/>
    </row>
    <row r="16" spans="2:16" ht="22">
      <c r="B16" s="94" t="s">
        <v>13</v>
      </c>
      <c r="C16" s="95"/>
      <c r="D16" s="141">
        <v>0</v>
      </c>
      <c r="E16" s="128">
        <v>0</v>
      </c>
      <c r="F16" s="128">
        <v>0</v>
      </c>
      <c r="G16" s="96">
        <v>0</v>
      </c>
      <c r="H16" s="98">
        <f>D16*G16</f>
        <v>0</v>
      </c>
      <c r="I16" s="104">
        <v>0</v>
      </c>
      <c r="J16" s="129">
        <v>0</v>
      </c>
      <c r="K16" s="104">
        <f>H16-I16</f>
        <v>0</v>
      </c>
      <c r="L16" s="130"/>
      <c r="P16" s="7"/>
    </row>
    <row r="17" spans="2:12" ht="23" thickBot="1">
      <c r="B17" s="105" t="s">
        <v>2</v>
      </c>
      <c r="C17" s="106"/>
      <c r="D17" s="108">
        <v>0</v>
      </c>
      <c r="E17" s="107">
        <v>0</v>
      </c>
      <c r="F17" s="107">
        <f>SUM(F15:F16)</f>
        <v>0</v>
      </c>
      <c r="G17" s="108">
        <v>0</v>
      </c>
      <c r="H17" s="99">
        <f>SUM(H15:H16)</f>
        <v>0</v>
      </c>
      <c r="I17" s="109">
        <f>SUM(I15:I16)</f>
        <v>0</v>
      </c>
      <c r="J17" s="131" t="e">
        <f>(I17/H17)*100%</f>
        <v>#DIV/0!</v>
      </c>
      <c r="K17" s="109">
        <f>SUM(K15:K16)</f>
        <v>0</v>
      </c>
      <c r="L17" s="132" t="e">
        <f>100%-J17</f>
        <v>#DIV/0!</v>
      </c>
    </row>
    <row r="18" spans="2:12" ht="15" customHeight="1">
      <c r="B18" s="152" t="s">
        <v>9</v>
      </c>
      <c r="C18" s="153"/>
      <c r="D18" s="153"/>
      <c r="E18" s="153"/>
      <c r="F18" s="153"/>
      <c r="G18" s="153"/>
      <c r="H18" s="153"/>
      <c r="I18" s="110"/>
      <c r="J18" s="133"/>
      <c r="K18" s="111"/>
      <c r="L18" s="134"/>
    </row>
    <row r="19" spans="2:12" ht="22">
      <c r="B19" s="94" t="s">
        <v>13</v>
      </c>
      <c r="C19" s="95"/>
      <c r="D19" s="142">
        <v>0</v>
      </c>
      <c r="E19" s="128">
        <v>0</v>
      </c>
      <c r="F19" s="128">
        <v>0</v>
      </c>
      <c r="G19" s="96"/>
      <c r="H19" s="97">
        <f>G19*D19</f>
        <v>0</v>
      </c>
      <c r="I19" s="104">
        <v>0</v>
      </c>
      <c r="J19" s="129"/>
      <c r="K19" s="104">
        <f>H19-I19</f>
        <v>0</v>
      </c>
      <c r="L19" s="130"/>
    </row>
    <row r="20" spans="2:12" ht="22">
      <c r="B20" s="94" t="s">
        <v>13</v>
      </c>
      <c r="C20" s="95"/>
      <c r="D20" s="142">
        <v>0</v>
      </c>
      <c r="E20" s="135">
        <v>0</v>
      </c>
      <c r="F20" s="135">
        <v>0</v>
      </c>
      <c r="G20" s="100">
        <v>0</v>
      </c>
      <c r="H20" s="98">
        <f>G20*D20</f>
        <v>0</v>
      </c>
      <c r="I20" s="104">
        <v>0</v>
      </c>
      <c r="J20" s="129"/>
      <c r="K20" s="104">
        <f>H20-I20</f>
        <v>0</v>
      </c>
      <c r="L20" s="130"/>
    </row>
    <row r="21" spans="2:12" ht="22">
      <c r="B21" s="94" t="s">
        <v>13</v>
      </c>
      <c r="C21" s="95"/>
      <c r="D21" s="142">
        <v>0</v>
      </c>
      <c r="E21" s="135">
        <v>0</v>
      </c>
      <c r="F21" s="135">
        <v>0</v>
      </c>
      <c r="G21" s="100">
        <v>0</v>
      </c>
      <c r="H21" s="98">
        <f>G21*D21</f>
        <v>0</v>
      </c>
      <c r="I21" s="104">
        <v>0</v>
      </c>
      <c r="J21" s="129"/>
      <c r="K21" s="104">
        <f>H21-I21</f>
        <v>0</v>
      </c>
      <c r="L21" s="130"/>
    </row>
    <row r="22" spans="2:12" ht="23" thickBot="1">
      <c r="B22" s="105" t="s">
        <v>2</v>
      </c>
      <c r="C22" s="106"/>
      <c r="D22" s="108">
        <v>0</v>
      </c>
      <c r="E22" s="107">
        <v>0</v>
      </c>
      <c r="F22" s="107">
        <f>SUM(F19:F21)</f>
        <v>0</v>
      </c>
      <c r="G22" s="108">
        <v>0</v>
      </c>
      <c r="H22" s="99">
        <f>SUM(H19:H21)</f>
        <v>0</v>
      </c>
      <c r="I22" s="109">
        <f>SUM(I19:I21)</f>
        <v>0</v>
      </c>
      <c r="J22" s="131" t="e">
        <f>(I22/H22)*100%</f>
        <v>#DIV/0!</v>
      </c>
      <c r="K22" s="109">
        <f>SUM(K19:K21)</f>
        <v>0</v>
      </c>
      <c r="L22" s="132" t="e">
        <f>100%-J22</f>
        <v>#DIV/0!</v>
      </c>
    </row>
    <row r="23" spans="2:12" ht="15" customHeight="1">
      <c r="B23" s="152" t="s">
        <v>10</v>
      </c>
      <c r="C23" s="153"/>
      <c r="D23" s="153"/>
      <c r="E23" s="153"/>
      <c r="F23" s="153"/>
      <c r="G23" s="153"/>
      <c r="H23" s="153"/>
      <c r="I23" s="110"/>
      <c r="J23" s="133"/>
      <c r="K23" s="110"/>
      <c r="L23" s="134"/>
    </row>
    <row r="24" spans="2:12" ht="22">
      <c r="B24" s="94" t="s">
        <v>13</v>
      </c>
      <c r="C24" s="95"/>
      <c r="D24" s="142">
        <v>0</v>
      </c>
      <c r="E24" s="128">
        <v>0</v>
      </c>
      <c r="F24" s="128">
        <v>0</v>
      </c>
      <c r="G24" s="96">
        <v>0</v>
      </c>
      <c r="H24" s="97">
        <f>G24*D24</f>
        <v>0</v>
      </c>
      <c r="I24" s="104">
        <f>0.8*H24</f>
        <v>0</v>
      </c>
      <c r="J24" s="129"/>
      <c r="K24" s="104">
        <f>H24-I24</f>
        <v>0</v>
      </c>
      <c r="L24" s="130"/>
    </row>
    <row r="25" spans="2:12" ht="22">
      <c r="B25" s="94" t="s">
        <v>13</v>
      </c>
      <c r="C25" s="101"/>
      <c r="D25" s="142">
        <v>0</v>
      </c>
      <c r="E25" s="135">
        <v>0</v>
      </c>
      <c r="F25" s="135">
        <v>0</v>
      </c>
      <c r="G25" s="100">
        <v>0</v>
      </c>
      <c r="H25" s="98">
        <f>G25*D25</f>
        <v>0</v>
      </c>
      <c r="I25" s="104">
        <f t="shared" ref="I25:I26" si="0">0.8*H25</f>
        <v>0</v>
      </c>
      <c r="J25" s="129"/>
      <c r="K25" s="104">
        <f>H25-I25</f>
        <v>0</v>
      </c>
      <c r="L25" s="130"/>
    </row>
    <row r="26" spans="2:12" ht="22">
      <c r="B26" s="94" t="s">
        <v>13</v>
      </c>
      <c r="C26" s="101"/>
      <c r="D26" s="142">
        <v>0</v>
      </c>
      <c r="E26" s="135">
        <v>0</v>
      </c>
      <c r="F26" s="135">
        <v>0</v>
      </c>
      <c r="G26" s="100">
        <v>0</v>
      </c>
      <c r="H26" s="98">
        <f>G26*D26</f>
        <v>0</v>
      </c>
      <c r="I26" s="104">
        <f t="shared" si="0"/>
        <v>0</v>
      </c>
      <c r="J26" s="129"/>
      <c r="K26" s="104">
        <f>H26-I26</f>
        <v>0</v>
      </c>
      <c r="L26" s="130"/>
    </row>
    <row r="27" spans="2:12" ht="23" thickBot="1">
      <c r="B27" s="105" t="s">
        <v>2</v>
      </c>
      <c r="C27" s="106"/>
      <c r="D27" s="108">
        <v>0</v>
      </c>
      <c r="E27" s="107">
        <v>0</v>
      </c>
      <c r="F27" s="107">
        <f>SUM(F24:F26)</f>
        <v>0</v>
      </c>
      <c r="G27" s="108">
        <v>0</v>
      </c>
      <c r="H27" s="99">
        <f>SUM(H24:H26)</f>
        <v>0</v>
      </c>
      <c r="I27" s="112">
        <f>SUM(I24:I26)</f>
        <v>0</v>
      </c>
      <c r="J27" s="131" t="e">
        <f>(I27/H27)*100%</f>
        <v>#DIV/0!</v>
      </c>
      <c r="K27" s="109">
        <f>SUM(K24:K26)</f>
        <v>0</v>
      </c>
      <c r="L27" s="132" t="e">
        <f>100%-J27</f>
        <v>#DIV/0!</v>
      </c>
    </row>
    <row r="28" spans="2:12" ht="15" customHeight="1">
      <c r="B28" s="152" t="s">
        <v>11</v>
      </c>
      <c r="C28" s="153"/>
      <c r="D28" s="153"/>
      <c r="E28" s="153"/>
      <c r="F28" s="153"/>
      <c r="G28" s="153"/>
      <c r="H28" s="153"/>
      <c r="I28" s="110"/>
      <c r="J28" s="133"/>
      <c r="K28" s="110"/>
      <c r="L28" s="134"/>
    </row>
    <row r="29" spans="2:12" ht="22">
      <c r="B29" s="94" t="s">
        <v>13</v>
      </c>
      <c r="C29" s="95"/>
      <c r="D29" s="142">
        <v>0</v>
      </c>
      <c r="E29" s="128">
        <v>0</v>
      </c>
      <c r="F29" s="128">
        <v>0</v>
      </c>
      <c r="G29" s="96">
        <v>0</v>
      </c>
      <c r="H29" s="97">
        <f>G29*D29</f>
        <v>0</v>
      </c>
      <c r="I29" s="113">
        <f>0.8*H29</f>
        <v>0</v>
      </c>
      <c r="J29" s="114"/>
      <c r="K29" s="113">
        <f>H29-I29</f>
        <v>0</v>
      </c>
      <c r="L29" s="115"/>
    </row>
    <row r="30" spans="2:12" ht="22">
      <c r="B30" s="94" t="s">
        <v>13</v>
      </c>
      <c r="C30" s="95"/>
      <c r="D30" s="142">
        <v>0</v>
      </c>
      <c r="E30" s="128">
        <v>0</v>
      </c>
      <c r="F30" s="128">
        <v>0</v>
      </c>
      <c r="G30" s="96">
        <v>0</v>
      </c>
      <c r="H30" s="102">
        <f>G30*D30</f>
        <v>0</v>
      </c>
      <c r="I30" s="116">
        <f>0.8*H30</f>
        <v>0</v>
      </c>
      <c r="J30" s="117"/>
      <c r="K30" s="116">
        <f>H30-I30</f>
        <v>0</v>
      </c>
      <c r="L30" s="118"/>
    </row>
    <row r="31" spans="2:12" ht="23" thickBot="1">
      <c r="B31" s="105" t="s">
        <v>2</v>
      </c>
      <c r="C31" s="106"/>
      <c r="D31" s="108">
        <f t="shared" ref="D31:I31" si="1">SUM(D29:D30)</f>
        <v>0</v>
      </c>
      <c r="E31" s="107">
        <f t="shared" si="1"/>
        <v>0</v>
      </c>
      <c r="F31" s="107">
        <f t="shared" si="1"/>
        <v>0</v>
      </c>
      <c r="G31" s="108">
        <f t="shared" si="1"/>
        <v>0</v>
      </c>
      <c r="H31" s="99">
        <f t="shared" si="1"/>
        <v>0</v>
      </c>
      <c r="I31" s="109">
        <f t="shared" si="1"/>
        <v>0</v>
      </c>
      <c r="J31" s="131" t="e">
        <f>(I31/H31)*100%</f>
        <v>#DIV/0!</v>
      </c>
      <c r="K31" s="109">
        <f>SUM(K28:K30)</f>
        <v>0</v>
      </c>
      <c r="L31" s="132" t="e">
        <f>100%-J31</f>
        <v>#DIV/0!</v>
      </c>
    </row>
    <row r="32" spans="2:12" ht="21">
      <c r="B32" s="152" t="s">
        <v>12</v>
      </c>
      <c r="C32" s="153"/>
      <c r="D32" s="153"/>
      <c r="E32" s="153"/>
      <c r="F32" s="153"/>
      <c r="G32" s="153"/>
      <c r="H32" s="153"/>
      <c r="I32" s="110"/>
      <c r="J32" s="119"/>
      <c r="K32" s="110"/>
      <c r="L32" s="120"/>
    </row>
    <row r="33" spans="2:12" ht="18.75" customHeight="1">
      <c r="B33" s="94" t="s">
        <v>13</v>
      </c>
      <c r="C33" s="95"/>
      <c r="D33" s="143">
        <v>0</v>
      </c>
      <c r="E33" s="136">
        <v>0</v>
      </c>
      <c r="F33" s="136">
        <v>0</v>
      </c>
      <c r="G33" s="96">
        <v>0</v>
      </c>
      <c r="H33" s="97">
        <f>G33*D33</f>
        <v>0</v>
      </c>
      <c r="I33" s="104">
        <f>0.8*H33</f>
        <v>0</v>
      </c>
      <c r="J33" s="121"/>
      <c r="K33" s="104">
        <f>H33-I33</f>
        <v>0</v>
      </c>
      <c r="L33" s="122"/>
    </row>
    <row r="34" spans="2:12" ht="22">
      <c r="B34" s="94" t="s">
        <v>13</v>
      </c>
      <c r="C34" s="95"/>
      <c r="D34" s="143">
        <v>0</v>
      </c>
      <c r="E34" s="136">
        <v>0</v>
      </c>
      <c r="F34" s="136">
        <v>0</v>
      </c>
      <c r="G34" s="96">
        <v>0</v>
      </c>
      <c r="H34" s="102">
        <f>G34*D34</f>
        <v>0</v>
      </c>
      <c r="I34" s="104">
        <f>0.8*H34</f>
        <v>0</v>
      </c>
      <c r="J34" s="121"/>
      <c r="K34" s="104">
        <f>H34-I34</f>
        <v>0</v>
      </c>
      <c r="L34" s="122"/>
    </row>
    <row r="35" spans="2:12" ht="22">
      <c r="B35" s="94" t="s">
        <v>13</v>
      </c>
      <c r="C35" s="95"/>
      <c r="D35" s="143">
        <v>0</v>
      </c>
      <c r="E35" s="136">
        <v>0</v>
      </c>
      <c r="F35" s="136">
        <v>0</v>
      </c>
      <c r="G35" s="96">
        <v>0</v>
      </c>
      <c r="H35" s="102">
        <f>G35*D35</f>
        <v>0</v>
      </c>
      <c r="I35" s="104">
        <f>0.8*H35</f>
        <v>0</v>
      </c>
      <c r="J35" s="121"/>
      <c r="K35" s="104">
        <f>H35-I35</f>
        <v>0</v>
      </c>
      <c r="L35" s="122"/>
    </row>
    <row r="36" spans="2:12" s="5" customFormat="1" ht="22.5" customHeight="1" thickBot="1">
      <c r="B36" s="137" t="s">
        <v>34</v>
      </c>
      <c r="C36" s="138"/>
      <c r="D36" s="123"/>
      <c r="E36" s="139"/>
      <c r="F36" s="139"/>
      <c r="G36" s="140"/>
      <c r="H36" s="140" t="e">
        <f>H17+H22+H27+H31+#REF!+#REF!</f>
        <v>#REF!</v>
      </c>
      <c r="I36" s="124" t="e">
        <f>#REF!+#REF!</f>
        <v>#REF!</v>
      </c>
      <c r="J36" s="125"/>
      <c r="K36" s="124" t="e">
        <f>#REF!+#REF!</f>
        <v>#REF!</v>
      </c>
      <c r="L36" s="125"/>
    </row>
    <row r="37" spans="2:12" s="7" customFormat="1" ht="21">
      <c r="B37" s="144"/>
      <c r="D37" s="47"/>
      <c r="E37" s="81"/>
      <c r="F37" s="81"/>
      <c r="G37" s="72"/>
      <c r="H37" s="72"/>
      <c r="I37" s="73"/>
      <c r="J37" s="55"/>
      <c r="K37" s="73"/>
      <c r="L37" s="55"/>
    </row>
    <row r="38" spans="2:12" ht="21">
      <c r="E38" s="82"/>
      <c r="F38" s="82"/>
      <c r="G38" s="74"/>
      <c r="H38" s="74"/>
    </row>
    <row r="39" spans="2:12" ht="21">
      <c r="E39" s="82"/>
      <c r="F39" s="82"/>
      <c r="G39" s="74"/>
      <c r="H39" s="74"/>
    </row>
    <row r="40" spans="2:12" ht="21">
      <c r="E40" s="82"/>
      <c r="F40" s="82"/>
      <c r="G40" s="74"/>
      <c r="H40" s="74"/>
    </row>
    <row r="41" spans="2:12" ht="21">
      <c r="E41" s="82"/>
      <c r="F41" s="82"/>
      <c r="G41" s="74"/>
      <c r="H41" s="74"/>
    </row>
    <row r="42" spans="2:12" ht="21">
      <c r="E42" s="82"/>
      <c r="F42" s="82"/>
      <c r="G42" s="74"/>
      <c r="H42" s="74"/>
    </row>
    <row r="43" spans="2:12" ht="9.75" customHeight="1" thickBot="1">
      <c r="B43" s="10"/>
      <c r="C43" s="10"/>
      <c r="D43" s="51"/>
      <c r="E43" s="83"/>
      <c r="F43" s="82"/>
      <c r="G43" s="74"/>
      <c r="H43" s="74"/>
    </row>
    <row r="44" spans="2:12" ht="22.5" customHeight="1" thickBot="1">
      <c r="B44" s="59" t="s">
        <v>14</v>
      </c>
      <c r="C44" s="59" t="s">
        <v>18</v>
      </c>
      <c r="D44" s="146" t="s">
        <v>18</v>
      </c>
      <c r="E44" s="84"/>
      <c r="F44" s="82"/>
      <c r="G44" s="74"/>
      <c r="H44" s="74"/>
    </row>
    <row r="45" spans="2:12" ht="22" thickBot="1">
      <c r="B45" s="27" t="s">
        <v>22</v>
      </c>
      <c r="C45" s="61">
        <f>F17</f>
        <v>0</v>
      </c>
      <c r="D45" s="147">
        <f>H17</f>
        <v>0</v>
      </c>
      <c r="E45" s="85"/>
      <c r="F45" s="82"/>
      <c r="G45" s="74"/>
      <c r="H45" s="74"/>
    </row>
    <row r="46" spans="2:12" ht="17" thickBot="1">
      <c r="B46" s="28" t="s">
        <v>23</v>
      </c>
      <c r="C46" s="62">
        <f>F22</f>
        <v>0</v>
      </c>
      <c r="D46" s="147">
        <f t="shared" ref="D46:D49" si="2">H18</f>
        <v>0</v>
      </c>
      <c r="E46" s="85"/>
    </row>
    <row r="47" spans="2:12" ht="17" thickBot="1">
      <c r="B47" s="29" t="s">
        <v>24</v>
      </c>
      <c r="C47" s="61">
        <f t="shared" ref="C47" si="3">F19</f>
        <v>0</v>
      </c>
      <c r="D47" s="147">
        <f t="shared" si="2"/>
        <v>0</v>
      </c>
      <c r="E47" s="84"/>
    </row>
    <row r="48" spans="2:12" ht="17" thickBot="1">
      <c r="B48" s="30" t="s">
        <v>25</v>
      </c>
      <c r="C48" s="62">
        <f t="shared" ref="C48" si="4">F24</f>
        <v>0</v>
      </c>
      <c r="D48" s="147">
        <f t="shared" si="2"/>
        <v>0</v>
      </c>
      <c r="E48" s="84"/>
    </row>
    <row r="49" spans="2:8" ht="16">
      <c r="B49" s="30" t="s">
        <v>26</v>
      </c>
      <c r="C49" s="61">
        <f t="shared" ref="C49" si="5">F21</f>
        <v>0</v>
      </c>
      <c r="D49" s="147">
        <f t="shared" si="2"/>
        <v>0</v>
      </c>
      <c r="E49" s="84"/>
    </row>
    <row r="50" spans="2:8" ht="15" customHeight="1" thickBot="1">
      <c r="B50" s="60" t="s">
        <v>21</v>
      </c>
      <c r="C50" s="148">
        <f t="shared" ref="C50" si="6">F26</f>
        <v>0</v>
      </c>
      <c r="D50" s="145">
        <f>SUM(D45:D49)</f>
        <v>0</v>
      </c>
      <c r="H50" s="77"/>
    </row>
    <row r="51" spans="2:8" ht="15" customHeight="1">
      <c r="B51" s="10"/>
      <c r="C51" s="10"/>
      <c r="D51" s="51"/>
      <c r="E51" s="83"/>
    </row>
  </sheetData>
  <sheetProtection formatCells="0" formatRows="0" insertColumns="0" insertRows="0" deleteColumns="0" deleteRows="0"/>
  <mergeCells count="10">
    <mergeCell ref="B1:L5"/>
    <mergeCell ref="I12:L12"/>
    <mergeCell ref="I13:J13"/>
    <mergeCell ref="K13:L13"/>
    <mergeCell ref="B28:H28"/>
    <mergeCell ref="B32:H32"/>
    <mergeCell ref="B18:H18"/>
    <mergeCell ref="B13:H13"/>
    <mergeCell ref="B14:H14"/>
    <mergeCell ref="B23:H23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3"/>
  <sheetViews>
    <sheetView topLeftCell="A8" workbookViewId="0">
      <selection activeCell="A37" sqref="A37"/>
    </sheetView>
  </sheetViews>
  <sheetFormatPr baseColWidth="10" defaultColWidth="8.83203125" defaultRowHeight="15"/>
  <cols>
    <col min="1" max="1" width="59.33203125" style="1" customWidth="1"/>
    <col min="2" max="2" width="72.83203125" style="2" customWidth="1"/>
    <col min="5" max="5" width="6.5" customWidth="1"/>
  </cols>
  <sheetData>
    <row r="1" spans="1:9" ht="17" thickBot="1">
      <c r="A1" s="87"/>
      <c r="B1" s="88"/>
    </row>
    <row r="2" spans="1:9">
      <c r="A2" s="14"/>
      <c r="B2" s="16"/>
      <c r="C2" s="15"/>
      <c r="D2" s="15"/>
      <c r="E2" s="15"/>
      <c r="F2" s="15"/>
      <c r="G2" s="15"/>
      <c r="H2" s="15"/>
      <c r="I2" s="15"/>
    </row>
    <row r="3" spans="1:9">
      <c r="A3" s="17"/>
      <c r="B3" s="18"/>
      <c r="C3" s="7"/>
      <c r="D3" s="7"/>
      <c r="E3" s="7"/>
      <c r="F3" s="7"/>
      <c r="G3" s="7"/>
      <c r="H3" s="7"/>
      <c r="I3" s="7"/>
    </row>
    <row r="4" spans="1:9">
      <c r="A4" s="17"/>
      <c r="B4" s="18"/>
      <c r="C4" s="7"/>
      <c r="D4" s="7"/>
      <c r="E4" s="7"/>
      <c r="F4" s="7"/>
      <c r="G4" s="7"/>
      <c r="H4" s="7"/>
      <c r="I4" s="7"/>
    </row>
    <row r="5" spans="1:9">
      <c r="A5" s="17"/>
      <c r="B5" s="18"/>
      <c r="C5" s="7"/>
      <c r="D5" s="7"/>
      <c r="E5" s="7"/>
      <c r="F5" s="7"/>
      <c r="G5" s="7"/>
      <c r="H5" s="7"/>
      <c r="I5" s="7"/>
    </row>
    <row r="6" spans="1:9">
      <c r="A6" s="17"/>
      <c r="B6" s="18"/>
      <c r="C6" s="7"/>
      <c r="D6" s="7"/>
      <c r="E6" s="7"/>
      <c r="F6" s="7"/>
      <c r="G6" s="7"/>
      <c r="H6" s="7"/>
      <c r="I6" s="7"/>
    </row>
    <row r="7" spans="1:9">
      <c r="A7" s="156" t="s">
        <v>5</v>
      </c>
      <c r="B7" s="157"/>
      <c r="C7" s="7"/>
      <c r="D7" s="7"/>
      <c r="E7" s="7"/>
      <c r="F7" s="7"/>
      <c r="G7" s="7"/>
      <c r="H7" s="7"/>
      <c r="I7" s="7"/>
    </row>
    <row r="8" spans="1:9" ht="16">
      <c r="A8" s="158" t="s">
        <v>15</v>
      </c>
      <c r="B8" s="159"/>
      <c r="C8" s="19"/>
      <c r="D8" s="19"/>
      <c r="E8" s="19"/>
      <c r="F8" s="3"/>
      <c r="G8" s="4"/>
      <c r="H8" s="7"/>
      <c r="I8" s="7"/>
    </row>
    <row r="9" spans="1:9" ht="16">
      <c r="A9" s="158" t="s">
        <v>4</v>
      </c>
      <c r="B9" s="159"/>
      <c r="C9" s="19"/>
      <c r="D9" s="19"/>
      <c r="E9" s="19"/>
      <c r="F9" s="20"/>
      <c r="G9" s="4"/>
      <c r="H9" s="21"/>
      <c r="I9" s="22"/>
    </row>
    <row r="10" spans="1:9" ht="16">
      <c r="A10" s="160" t="s">
        <v>33</v>
      </c>
      <c r="B10" s="161"/>
      <c r="C10" s="19"/>
      <c r="D10" s="19"/>
      <c r="E10" s="19"/>
      <c r="F10" s="3"/>
      <c r="G10" s="4"/>
      <c r="H10" s="23"/>
      <c r="I10" s="22"/>
    </row>
    <row r="11" spans="1:9" ht="16" thickBot="1">
      <c r="A11" s="25"/>
      <c r="B11" s="89"/>
    </row>
    <row r="12" spans="1:9" ht="17">
      <c r="A12" s="42" t="s">
        <v>0</v>
      </c>
      <c r="B12" s="44" t="s">
        <v>1</v>
      </c>
    </row>
    <row r="13" spans="1:9" ht="16">
      <c r="A13" s="43"/>
      <c r="B13" s="33"/>
    </row>
    <row r="14" spans="1:9" ht="16" thickBot="1">
      <c r="A14" s="40"/>
      <c r="B14" s="41"/>
    </row>
    <row r="15" spans="1:9">
      <c r="A15" s="38" t="s">
        <v>13</v>
      </c>
      <c r="B15" s="39"/>
    </row>
    <row r="16" spans="1:9">
      <c r="A16" s="11" t="s">
        <v>13</v>
      </c>
      <c r="B16" s="34"/>
    </row>
    <row r="17" spans="1:2" ht="16">
      <c r="A17" s="12" t="s">
        <v>2</v>
      </c>
      <c r="B17" s="35"/>
    </row>
    <row r="18" spans="1:2">
      <c r="A18" s="32"/>
      <c r="B18" s="33"/>
    </row>
    <row r="19" spans="1:2">
      <c r="A19" s="11" t="s">
        <v>13</v>
      </c>
      <c r="B19" s="34"/>
    </row>
    <row r="20" spans="1:2">
      <c r="A20" s="11" t="s">
        <v>13</v>
      </c>
      <c r="B20" s="34"/>
    </row>
    <row r="21" spans="1:2">
      <c r="A21" s="11" t="s">
        <v>13</v>
      </c>
      <c r="B21" s="34"/>
    </row>
    <row r="22" spans="1:2" ht="16">
      <c r="A22" s="12" t="s">
        <v>2</v>
      </c>
      <c r="B22" s="35"/>
    </row>
    <row r="23" spans="1:2">
      <c r="A23" s="32"/>
      <c r="B23" s="33"/>
    </row>
    <row r="24" spans="1:2">
      <c r="A24" s="11" t="s">
        <v>13</v>
      </c>
      <c r="B24" s="34"/>
    </row>
    <row r="25" spans="1:2">
      <c r="A25" s="11" t="s">
        <v>13</v>
      </c>
      <c r="B25" s="34"/>
    </row>
    <row r="26" spans="1:2">
      <c r="A26" s="11" t="s">
        <v>13</v>
      </c>
      <c r="B26" s="34"/>
    </row>
    <row r="27" spans="1:2" ht="16">
      <c r="A27" s="12" t="s">
        <v>2</v>
      </c>
      <c r="B27" s="35"/>
    </row>
    <row r="28" spans="1:2">
      <c r="A28" s="32"/>
      <c r="B28" s="33"/>
    </row>
    <row r="29" spans="1:2">
      <c r="A29" s="11" t="s">
        <v>13</v>
      </c>
      <c r="B29" s="34"/>
    </row>
    <row r="30" spans="1:2">
      <c r="A30" s="11" t="s">
        <v>13</v>
      </c>
      <c r="B30" s="34"/>
    </row>
    <row r="31" spans="1:2" ht="16">
      <c r="A31" s="12" t="s">
        <v>2</v>
      </c>
      <c r="B31" s="35"/>
    </row>
    <row r="32" spans="1:2">
      <c r="A32" s="32"/>
      <c r="B32" s="33"/>
    </row>
    <row r="33" spans="1:2">
      <c r="A33" s="11" t="s">
        <v>13</v>
      </c>
      <c r="B33" s="34"/>
    </row>
    <row r="34" spans="1:2">
      <c r="A34" s="11" t="s">
        <v>13</v>
      </c>
      <c r="B34" s="34"/>
    </row>
    <row r="35" spans="1:2">
      <c r="A35" s="11" t="s">
        <v>13</v>
      </c>
      <c r="B35" s="34"/>
    </row>
    <row r="36" spans="1:2" ht="17" thickBot="1">
      <c r="A36" s="31" t="s">
        <v>2</v>
      </c>
      <c r="B36" s="36"/>
    </row>
    <row r="37" spans="1:2" ht="23" thickBot="1">
      <c r="A37" s="13" t="s">
        <v>34</v>
      </c>
      <c r="B37" s="37"/>
    </row>
    <row r="38" spans="1:2" ht="21">
      <c r="A38" s="7"/>
      <c r="B38" s="8"/>
    </row>
    <row r="43" spans="1:2">
      <c r="A43" s="2"/>
      <c r="B43"/>
    </row>
    <row r="44" spans="1:2">
      <c r="A44" s="2"/>
      <c r="B44"/>
    </row>
    <row r="45" spans="1:2">
      <c r="A45" s="2"/>
      <c r="B45"/>
    </row>
    <row r="46" spans="1:2">
      <c r="A46" s="2"/>
      <c r="B46"/>
    </row>
    <row r="47" spans="1:2">
      <c r="A47" s="2"/>
      <c r="B47"/>
    </row>
    <row r="48" spans="1:2">
      <c r="A48" s="2"/>
      <c r="B48"/>
    </row>
    <row r="49" spans="1:2">
      <c r="A49" s="2"/>
      <c r="B49"/>
    </row>
    <row r="50" spans="1:2">
      <c r="A50" s="2"/>
      <c r="B50"/>
    </row>
    <row r="51" spans="1:2">
      <c r="A51" s="2"/>
      <c r="B51"/>
    </row>
    <row r="52" spans="1:2">
      <c r="B52"/>
    </row>
    <row r="53" spans="1:2" ht="16">
      <c r="A53" s="10"/>
    </row>
  </sheetData>
  <mergeCells count="4">
    <mergeCell ref="A7:B7"/>
    <mergeCell ref="A8:B8"/>
    <mergeCell ref="A9:B9"/>
    <mergeCell ref="A10:B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Activities budget</vt:lpstr>
      <vt:lpstr>Budget Notes</vt:lpstr>
    </vt:vector>
  </TitlesOfParts>
  <Company>Deftones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</dc:creator>
  <cp:lastModifiedBy>Microsoft Office User</cp:lastModifiedBy>
  <dcterms:created xsi:type="dcterms:W3CDTF">2018-05-21T11:45:50Z</dcterms:created>
  <dcterms:modified xsi:type="dcterms:W3CDTF">2022-01-14T16:25:03Z</dcterms:modified>
</cp:coreProperties>
</file>